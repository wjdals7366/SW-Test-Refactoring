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DU01-06\Documents\Project\"/>
    </mc:Choice>
  </mc:AlternateContent>
  <bookViews>
    <workbookView xWindow="0" yWindow="0" windowWidth="28800" windowHeight="11640" tabRatio="500" activeTab="1"/>
  </bookViews>
  <sheets>
    <sheet name="요약" sheetId="1" r:id="rId1"/>
    <sheet name="테스트 케이스" sheetId="2" r:id="rId2"/>
  </sheets>
  <definedNames>
    <definedName name="_xlnm._FilterDatabase" localSheetId="1" hidden="1">'테스트 케이스'!$A$1:$O$66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" l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G10" i="1" l="1"/>
  <c r="G7" i="1"/>
  <c r="C14" i="1"/>
  <c r="D14" i="1"/>
  <c r="G9" i="1"/>
  <c r="G6" i="1"/>
  <c r="G11" i="1"/>
  <c r="G8" i="1"/>
  <c r="G12" i="1"/>
  <c r="E14" i="1"/>
  <c r="F14" i="1"/>
  <c r="G13" i="1"/>
  <c r="B14" i="1"/>
  <c r="G5" i="1"/>
  <c r="G14" i="1" l="1"/>
</calcChain>
</file>

<file path=xl/sharedStrings.xml><?xml version="1.0" encoding="utf-8"?>
<sst xmlns="http://schemas.openxmlformats.org/spreadsheetml/2006/main" count="990" uniqueCount="527">
  <si>
    <r>
      <rPr>
        <b/>
        <sz val="16"/>
        <color rgb="FF1F4E79"/>
        <rFont val="Malgun Gothic"/>
        <family val="3"/>
        <charset val="129"/>
      </rPr>
      <t xml:space="preserve">Sport </t>
    </r>
    <r>
      <rPr>
        <b/>
        <sz val="16"/>
        <color rgb="FF1F4E79"/>
        <rFont val="Noto Sans CJK SC"/>
        <family val="2"/>
      </rPr>
      <t>예약 메이트 테스트 케이스</t>
    </r>
  </si>
  <si>
    <r>
      <rPr>
        <sz val="9"/>
        <color rgb="FF595959"/>
        <rFont val="Noto Sans CJK SC"/>
        <family val="2"/>
      </rPr>
      <t>근거 문서</t>
    </r>
    <r>
      <rPr>
        <sz val="9"/>
        <color rgb="FF595959"/>
        <rFont val="Malgun Gothic"/>
        <family val="3"/>
        <charset val="129"/>
      </rPr>
      <t xml:space="preserve">: Sport </t>
    </r>
    <r>
      <rPr>
        <sz val="9"/>
        <color rgb="FF595959"/>
        <rFont val="Noto Sans CJK SC"/>
        <family val="2"/>
      </rPr>
      <t xml:space="preserve">예약 메이트 테스트 수행 보고서 </t>
    </r>
    <r>
      <rPr>
        <sz val="9"/>
        <color rgb="FF595959"/>
        <rFont val="Malgun Gothic"/>
        <family val="3"/>
        <charset val="129"/>
      </rPr>
      <t>(2026-10-10), TestCase.xlsx</t>
    </r>
  </si>
  <si>
    <t>구분</t>
  </si>
  <si>
    <t>전체</t>
  </si>
  <si>
    <t>Pass</t>
  </si>
  <si>
    <t>Fail</t>
  </si>
  <si>
    <t>미수행</t>
  </si>
  <si>
    <t>Blocked</t>
  </si>
  <si>
    <t>수행률</t>
  </si>
  <si>
    <t>접두어</t>
  </si>
  <si>
    <t>영문</t>
  </si>
  <si>
    <t>대상 영역</t>
  </si>
  <si>
    <t>범위</t>
  </si>
  <si>
    <t>개수</t>
  </si>
  <si>
    <t>부하</t>
  </si>
  <si>
    <t>PF</t>
  </si>
  <si>
    <t>Perfomance</t>
  </si>
  <si>
    <t>부하 · 성능</t>
  </si>
  <si>
    <t>k6로 측정한 로그인 페이지 동시 접속, 이용권 대량 등록 응답 시간과 실패율</t>
  </si>
  <si>
    <t>배치</t>
  </si>
  <si>
    <t>BT</t>
  </si>
  <si>
    <t>Batch</t>
  </si>
  <si>
    <t>Spring Batch</t>
  </si>
  <si>
    <t>addPassesJob의 처리 시간, 증가 패턴, 처리 후 데이터 정합성, Job 재실행</t>
  </si>
  <si>
    <t>로그인</t>
  </si>
  <si>
    <t>L</t>
  </si>
  <si>
    <t>Login</t>
  </si>
  <si>
    <t>로그인 화면</t>
  </si>
  <si>
    <t>브라우저에서 수행하는 로그인 기능, 세션, 그룹 매핑</t>
  </si>
  <si>
    <r>
      <rPr>
        <sz val="10"/>
        <rFont val="Noto Sans CJK SC"/>
        <family val="2"/>
      </rPr>
      <t xml:space="preserve">로그인 </t>
    </r>
    <r>
      <rPr>
        <sz val="10"/>
        <rFont val="Malgun Gothic"/>
        <family val="3"/>
        <charset val="129"/>
      </rPr>
      <t>API</t>
    </r>
  </si>
  <si>
    <t>LA</t>
  </si>
  <si>
    <t>Login API</t>
  </si>
  <si>
    <t>로그인 API</t>
  </si>
  <si>
    <t>화면 없이 POST /login/action을 직접 호출해 상태 코드와 응답 본문 검증</t>
  </si>
  <si>
    <t>보안</t>
  </si>
  <si>
    <t>SC</t>
  </si>
  <si>
    <t>Security</t>
  </si>
  <si>
    <t>비밀번호 저장 형식, 민감 정보 노출 여부</t>
  </si>
  <si>
    <t>회원가입</t>
  </si>
  <si>
    <t>JN</t>
  </si>
  <si>
    <t>Join</t>
  </si>
  <si>
    <t>회원 가입과 POST /join/action 를 호출해  API 가입, 입력값 검증, 경계값 테스트</t>
  </si>
  <si>
    <r>
      <rPr>
        <sz val="10"/>
        <rFont val="Noto Sans CJK SC"/>
        <family val="2"/>
      </rPr>
      <t xml:space="preserve">회원가입 </t>
    </r>
    <r>
      <rPr>
        <sz val="10"/>
        <rFont val="Malgun Gothic"/>
        <family val="3"/>
        <charset val="129"/>
      </rPr>
      <t>API</t>
    </r>
  </si>
  <si>
    <t>AD</t>
  </si>
  <si>
    <t>Admin</t>
  </si>
  <si>
    <t>관리자</t>
  </si>
  <si>
    <t>대시보드, 이용권 일괄 등록 화면, 관리자 로그인, 통계</t>
  </si>
  <si>
    <t>BK</t>
  </si>
  <si>
    <t>Booking</t>
  </si>
  <si>
    <t>예약</t>
  </si>
  <si>
    <t>예약 시간 중복 차단, 동시 요청 처리</t>
  </si>
  <si>
    <t>합계</t>
  </si>
  <si>
    <t>결함별 케이스</t>
  </si>
  <si>
    <r>
      <rPr>
        <b/>
        <sz val="10"/>
        <color rgb="FFFFFFFF"/>
        <rFont val="Noto Sans CJK SC"/>
        <family val="2"/>
      </rPr>
      <t xml:space="preserve">결함 </t>
    </r>
    <r>
      <rPr>
        <b/>
        <sz val="10"/>
        <color rgb="FFFFFFFF"/>
        <rFont val="Malgun Gothic"/>
        <family val="3"/>
        <charset val="129"/>
      </rPr>
      <t>ID</t>
    </r>
  </si>
  <si>
    <t>케이스 수</t>
  </si>
  <si>
    <t>내용</t>
  </si>
  <si>
    <t>의미</t>
  </si>
  <si>
    <t>예</t>
  </si>
  <si>
    <t>DEF-001</t>
  </si>
  <si>
    <r>
      <rPr>
        <sz val="10"/>
        <rFont val="Noto Sans CJK SC"/>
        <family val="2"/>
      </rPr>
      <t>로그인 응답</t>
    </r>
    <r>
      <rPr>
        <sz val="10"/>
        <rFont val="Malgun Gothic"/>
        <family val="3"/>
        <charset val="129"/>
      </rPr>
      <t>·Console</t>
    </r>
    <r>
      <rPr>
        <sz val="10"/>
        <rFont val="Noto Sans CJK SC"/>
        <family val="2"/>
      </rPr>
      <t xml:space="preserve">에 비밀번호 원문 노출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수정 완료</t>
    </r>
    <r>
      <rPr>
        <sz val="10"/>
        <rFont val="Malgun Gothic"/>
        <family val="3"/>
        <charset val="129"/>
      </rPr>
      <t>)</t>
    </r>
  </si>
  <si>
    <t>DEF</t>
  </si>
  <si>
    <t>기능 · 보안 결함</t>
  </si>
  <si>
    <t>DEF-001 비밀번호 원문 노출</t>
  </si>
  <si>
    <t>DEF-002</t>
  </si>
  <si>
    <r>
      <rPr>
        <sz val="10"/>
        <rFont val="Noto Sans CJK SC"/>
        <family val="2"/>
      </rPr>
      <t>빈 이름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이메일 검사 미동작 가능성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후보</t>
    </r>
    <r>
      <rPr>
        <sz val="10"/>
        <rFont val="Malgun Gothic"/>
        <family val="3"/>
        <charset val="129"/>
      </rPr>
      <t>)</t>
    </r>
  </si>
  <si>
    <t>ET</t>
  </si>
  <si>
    <t>탐색적 테스트로 발견함 항목</t>
  </si>
  <si>
    <t>ET 대시보드 400</t>
  </si>
  <si>
    <t>DEF-003</t>
  </si>
  <si>
    <r>
      <rPr>
        <sz val="10"/>
        <rFont val="Malgun Gothic"/>
        <family val="3"/>
        <charset val="129"/>
      </rPr>
      <t>BCrypt 72</t>
    </r>
    <r>
      <rPr>
        <sz val="10"/>
        <rFont val="Noto Sans CJK SC"/>
        <family val="2"/>
      </rPr>
      <t xml:space="preserve">바이트 초과 부분 무시 가능성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후보</t>
    </r>
    <r>
      <rPr>
        <sz val="10"/>
        <rFont val="Malgun Gothic"/>
        <family val="3"/>
        <charset val="129"/>
      </rPr>
      <t>)</t>
    </r>
  </si>
  <si>
    <t>PERF</t>
  </si>
  <si>
    <t>성능 결함</t>
  </si>
  <si>
    <t>PERF-001 배치 반복 조회 병목</t>
  </si>
  <si>
    <t>DEF-004</t>
  </si>
  <si>
    <r>
      <rPr>
        <sz val="10"/>
        <rFont val="Noto Sans CJK SC"/>
        <family val="2"/>
      </rPr>
      <t xml:space="preserve">가입 예외를 삼켜 저장 없이 </t>
    </r>
    <r>
      <rPr>
        <sz val="10"/>
        <rFont val="Malgun Gothic"/>
        <family val="3"/>
        <charset val="129"/>
      </rPr>
      <t xml:space="preserve">200 </t>
    </r>
    <r>
      <rPr>
        <sz val="10"/>
        <rFont val="Noto Sans CJK SC"/>
        <family val="2"/>
      </rPr>
      <t xml:space="preserve">응답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미수정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</si>
  <si>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/admin </t>
    </r>
    <r>
      <rPr>
        <sz val="10"/>
        <rFont val="Noto Sans CJK SC"/>
        <family val="2"/>
      </rPr>
      <t xml:space="preserve">파라미터 없이 접속 시 </t>
    </r>
    <r>
      <rPr>
        <sz val="10"/>
        <rFont val="Malgun Gothic"/>
        <family val="3"/>
        <charset val="129"/>
      </rPr>
      <t>400 (</t>
    </r>
    <r>
      <rPr>
        <sz val="10"/>
        <rFont val="Noto Sans CJK SC"/>
        <family val="2"/>
      </rPr>
      <t>수정 완료</t>
    </r>
    <r>
      <rPr>
        <sz val="10"/>
        <rFont val="Malgun Gothic"/>
        <family val="3"/>
        <charset val="129"/>
      </rPr>
      <t>)</t>
    </r>
  </si>
  <si>
    <t>PERF-001</t>
  </si>
  <si>
    <r>
      <rPr>
        <sz val="10"/>
        <rFont val="Noto Sans CJK SC"/>
        <family val="2"/>
      </rPr>
      <t>배치 반복 조회 병목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건당 </t>
    </r>
    <r>
      <rPr>
        <sz val="10"/>
        <rFont val="Malgun Gothic"/>
        <family val="3"/>
        <charset val="129"/>
      </rPr>
      <t>SELECT 2k+2</t>
    </r>
    <r>
      <rPr>
        <sz val="10"/>
        <rFont val="Noto Sans CJK SC"/>
        <family val="2"/>
      </rPr>
      <t xml:space="preserve">회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수정 완료</t>
    </r>
    <r>
      <rPr>
        <sz val="10"/>
        <rFont val="Malgun Gothic"/>
        <family val="3"/>
        <charset val="129"/>
      </rPr>
      <t>)</t>
    </r>
  </si>
  <si>
    <t>PERF-002</t>
  </si>
  <si>
    <r>
      <rPr>
        <sz val="10"/>
        <rFont val="Noto Sans CJK SC"/>
        <family val="2"/>
      </rPr>
      <t xml:space="preserve">이용권 일괄 등록 목록 페이징 없음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미수정</t>
    </r>
    <r>
      <rPr>
        <sz val="10"/>
        <rFont val="Malgun Gothic"/>
        <family val="3"/>
        <charset val="129"/>
      </rPr>
      <t>)</t>
    </r>
  </si>
  <si>
    <t>작성 기준</t>
  </si>
  <si>
    <r>
      <rPr>
        <sz val="9"/>
        <rFont val="Noto Sans CJK SC"/>
        <family val="2"/>
      </rPr>
      <t>• 판정</t>
    </r>
    <r>
      <rPr>
        <sz val="9"/>
        <rFont val="Malgun Gothic"/>
        <family val="3"/>
        <charset val="129"/>
      </rPr>
      <t xml:space="preserve">: Pass / Fail / </t>
    </r>
    <r>
      <rPr>
        <sz val="9"/>
        <rFont val="Noto Sans CJK SC"/>
        <family val="2"/>
      </rPr>
      <t xml:space="preserve">미수행 </t>
    </r>
    <r>
      <rPr>
        <sz val="9"/>
        <rFont val="Malgun Gothic"/>
        <family val="3"/>
        <charset val="129"/>
      </rPr>
      <t xml:space="preserve">/ Blocked </t>
    </r>
    <r>
      <rPr>
        <sz val="9"/>
        <rFont val="Noto Sans CJK SC"/>
        <family val="2"/>
      </rPr>
      <t xml:space="preserve">중에서 선택합니다 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목록에서 고르기</t>
    </r>
    <r>
      <rPr>
        <sz val="9"/>
        <rFont val="Malgun Gothic"/>
        <family val="3"/>
        <charset val="129"/>
      </rPr>
      <t xml:space="preserve">). </t>
    </r>
    <r>
      <rPr>
        <sz val="9"/>
        <rFont val="Noto Sans CJK SC"/>
        <family val="2"/>
      </rPr>
      <t xml:space="preserve">수행 후 </t>
    </r>
    <r>
      <rPr>
        <sz val="9"/>
        <rFont val="Malgun Gothic"/>
        <family val="3"/>
        <charset val="129"/>
      </rPr>
      <t>'</t>
    </r>
    <r>
      <rPr>
        <sz val="9"/>
        <rFont val="Noto Sans CJK SC"/>
        <family val="2"/>
      </rPr>
      <t>실제 결과</t>
    </r>
    <r>
      <rPr>
        <sz val="9"/>
        <rFont val="Malgun Gothic"/>
        <family val="3"/>
        <charset val="129"/>
      </rPr>
      <t>'</t>
    </r>
    <r>
      <rPr>
        <sz val="9"/>
        <rFont val="Noto Sans CJK SC"/>
        <family val="2"/>
      </rPr>
      <t xml:space="preserve">와 </t>
    </r>
    <r>
      <rPr>
        <sz val="9"/>
        <rFont val="Malgun Gothic"/>
        <family val="3"/>
        <charset val="129"/>
      </rPr>
      <t>'</t>
    </r>
    <r>
      <rPr>
        <sz val="9"/>
        <rFont val="Noto Sans CJK SC"/>
        <family val="2"/>
      </rPr>
      <t>판정</t>
    </r>
    <r>
      <rPr>
        <sz val="9"/>
        <rFont val="Malgun Gothic"/>
        <family val="3"/>
        <charset val="129"/>
      </rPr>
      <t>'</t>
    </r>
    <r>
      <rPr>
        <sz val="9"/>
        <rFont val="Noto Sans CJK SC"/>
        <family val="2"/>
      </rPr>
      <t>만 채우면 요약이 자동으로 갱신됩니다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</si>
  <si>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 xml:space="preserve">• 수행률 </t>
    </r>
    <r>
      <rPr>
        <sz val="9"/>
        <rFont val="Malgun Gothic"/>
        <family val="3"/>
        <charset val="129"/>
      </rPr>
      <t xml:space="preserve">= (Pass + Fail + Blocked) / </t>
    </r>
    <r>
      <rPr>
        <sz val="9"/>
        <rFont val="Noto Sans CJK SC"/>
        <family val="2"/>
      </rPr>
      <t>전체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미수행 케이스는 보고서의 향후 과제와 코드 분석에서 도출했습니다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</si>
  <si>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>• PF-01~06</t>
    </r>
    <r>
      <rPr>
        <sz val="9"/>
        <rFont val="Noto Sans CJK SC"/>
        <family val="2"/>
      </rPr>
      <t>의 판정 기준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 xml:space="preserve">실패율 </t>
    </r>
    <r>
      <rPr>
        <sz val="9"/>
        <rFont val="Malgun Gothic"/>
        <family val="3"/>
        <charset val="129"/>
      </rPr>
      <t>0%)</t>
    </r>
    <r>
      <rPr>
        <sz val="9"/>
        <rFont val="Noto Sans CJK SC"/>
        <family val="2"/>
      </rPr>
      <t>은 보고서에 목표치가 정해져 있지 않아 둔 임시 기준입니다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목표 응답 시간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실패율이 정해지면 수정하세요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</si>
  <si>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 xml:space="preserve">• BT </t>
    </r>
    <r>
      <rPr>
        <sz val="9"/>
        <rFont val="Noto Sans CJK SC"/>
        <family val="2"/>
      </rPr>
      <t xml:space="preserve">케이스의 판정 기준은 </t>
    </r>
    <r>
      <rPr>
        <sz val="9"/>
        <rFont val="Malgun Gothic"/>
        <family val="3"/>
        <charset val="129"/>
      </rPr>
      <t>k6 timeout(300</t>
    </r>
    <r>
      <rPr>
        <sz val="9"/>
        <rFont val="Noto Sans CJK SC"/>
        <family val="2"/>
      </rPr>
      <t>초</t>
    </r>
    <r>
      <rPr>
        <sz val="9"/>
        <rFont val="Malgun Gothic"/>
        <family val="3"/>
        <charset val="129"/>
      </rPr>
      <t xml:space="preserve">) </t>
    </r>
    <r>
      <rPr>
        <sz val="9"/>
        <rFont val="Noto Sans CJK SC"/>
        <family val="2"/>
      </rPr>
      <t xml:space="preserve">안에 </t>
    </r>
    <r>
      <rPr>
        <sz val="9"/>
        <rFont val="Malgun Gothic"/>
        <family val="3"/>
        <charset val="129"/>
      </rPr>
      <t xml:space="preserve">COMPLETED </t>
    </r>
    <r>
      <rPr>
        <sz val="9"/>
        <rFont val="Noto Sans CJK SC"/>
        <family val="2"/>
      </rPr>
      <t>응답 여부입니다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 xml:space="preserve">증가 패턴은 </t>
    </r>
    <r>
      <rPr>
        <sz val="9"/>
        <rFont val="Malgun Gothic"/>
        <family val="3"/>
        <charset val="129"/>
      </rPr>
      <t>BT-04, BT-09</t>
    </r>
    <r>
      <rPr>
        <sz val="9"/>
        <rFont val="Noto Sans CJK SC"/>
        <family val="2"/>
      </rPr>
      <t>에서 따로 판정합니다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</si>
  <si>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>• PERF-001, PERF-002</t>
    </r>
    <r>
      <rPr>
        <sz val="9"/>
        <rFont val="Noto Sans CJK SC"/>
        <family val="2"/>
      </rPr>
      <t xml:space="preserve">는 보고서의 결함 목록에 없던 </t>
    </r>
    <r>
      <rPr>
        <sz val="9"/>
        <rFont val="Malgun Gothic"/>
        <family val="3"/>
        <charset val="129"/>
      </rPr>
      <t>ID</t>
    </r>
    <r>
      <rPr>
        <sz val="9"/>
        <rFont val="Noto Sans CJK SC"/>
        <family val="2"/>
      </rPr>
      <t>로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성능 문제를 추적하려고 새로 붙였습니다</t>
    </r>
    <r>
      <rPr>
        <sz val="9"/>
        <rFont val="Malgun Gothic"/>
        <family val="3"/>
        <charset val="129"/>
      </rPr>
      <t>.</t>
    </r>
  </si>
  <si>
    <r>
      <rPr>
        <sz val="9"/>
        <color rgb="FF000000"/>
        <rFont val="Noto Sans CJK SC"/>
      </rPr>
      <t xml:space="preserve">• 결함 </t>
    </r>
    <r>
      <rPr>
        <sz val="9"/>
        <color rgb="FF000000"/>
        <rFont val="Malgun Gothic"/>
        <family val="3"/>
        <charset val="129"/>
      </rPr>
      <t>ID</t>
    </r>
    <r>
      <rPr>
        <sz val="9"/>
        <color rgb="FF000000"/>
        <rFont val="Noto Sans CJK SC"/>
      </rPr>
      <t xml:space="preserve">가 적힌 </t>
    </r>
    <r>
      <rPr>
        <sz val="9"/>
        <color rgb="FF000000"/>
        <rFont val="Malgun Gothic"/>
        <family val="3"/>
        <charset val="129"/>
      </rPr>
      <t xml:space="preserve">Pass </t>
    </r>
    <r>
      <rPr>
        <sz val="9"/>
        <color rgb="FF000000"/>
        <rFont val="Noto Sans CJK SC"/>
      </rPr>
      <t>케이스는 해당 결함의 수정 확인</t>
    </r>
    <r>
      <rPr>
        <sz val="9"/>
        <color rgb="FF000000"/>
        <rFont val="Malgun Gothic"/>
        <family val="3"/>
        <charset val="129"/>
      </rPr>
      <t>(</t>
    </r>
    <r>
      <rPr>
        <sz val="9"/>
        <color rgb="FF000000"/>
        <rFont val="Noto Sans CJK SC"/>
      </rPr>
      <t>회귀</t>
    </r>
    <r>
      <rPr>
        <sz val="9"/>
        <color rgb="FF000000"/>
        <rFont val="Malgun Gothic"/>
        <family val="3"/>
        <charset val="129"/>
      </rPr>
      <t xml:space="preserve">) </t>
    </r>
    <r>
      <rPr>
        <sz val="9"/>
        <color rgb="FF000000"/>
        <rFont val="Noto Sans CJK SC"/>
      </rPr>
      <t>케이스입니다</t>
    </r>
    <r>
      <rPr>
        <sz val="9"/>
        <color rgb="FF000000"/>
        <rFont val="Malgun Gothic"/>
        <family val="3"/>
        <charset val="129"/>
      </rPr>
      <t>.</t>
    </r>
  </si>
  <si>
    <t>•  웹서버 (8080, 8081)는 실행 상태임을 가정합니다</t>
  </si>
  <si>
    <t>• 웹서버 실행 후 스키마는 자동으로 생성됩니다</t>
  </si>
  <si>
    <t>TC ID</t>
  </si>
  <si>
    <r>
      <rPr>
        <b/>
        <sz val="10"/>
        <color rgb="FFFFFFFF"/>
        <rFont val="Noto Sans CJK SC"/>
        <family val="2"/>
      </rPr>
      <t>기능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시나리오</t>
    </r>
  </si>
  <si>
    <t>테스트 유형</t>
  </si>
  <si>
    <t>우선순위</t>
  </si>
  <si>
    <t>사전 조건</t>
  </si>
  <si>
    <t>테스트 절차</t>
  </si>
  <si>
    <t>입력 데이터</t>
  </si>
  <si>
    <t>기대 결과</t>
  </si>
  <si>
    <t>실제 결과</t>
  </si>
  <si>
    <t>판정</t>
  </si>
  <si>
    <t>관련 결함</t>
  </si>
  <si>
    <t>수행 방법</t>
  </si>
  <si>
    <t>근거</t>
  </si>
  <si>
    <t>비고</t>
  </si>
  <si>
    <t>PF-01</t>
  </si>
  <si>
    <t>로그인 페이지</t>
  </si>
  <si>
    <t>성능</t>
  </si>
  <si>
    <t>Medium</t>
  </si>
  <si>
    <r>
      <rPr>
        <sz val="10"/>
        <rFont val="Malgun Gothic"/>
        <family val="3"/>
        <charset val="129"/>
      </rPr>
      <t>1. loadtest1.js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3"/>
        <charset val="129"/>
      </rPr>
      <t xml:space="preserve">vus </t>
    </r>
    <r>
      <rPr>
        <sz val="10"/>
        <rFont val="Noto Sans CJK SC"/>
        <family val="2"/>
      </rPr>
      <t xml:space="preserve">설정
</t>
    </r>
    <r>
      <rPr>
        <sz val="10"/>
        <rFont val="Malgun Gothic"/>
        <family val="3"/>
        <charset val="129"/>
      </rPr>
      <t>2. 10</t>
    </r>
    <r>
      <rPr>
        <sz val="10"/>
        <rFont val="Noto Sans CJK SC"/>
        <family val="2"/>
      </rPr>
      <t xml:space="preserve">초 동안 각 </t>
    </r>
    <r>
      <rPr>
        <sz val="10"/>
        <rFont val="Malgun Gothic"/>
        <family val="3"/>
        <charset val="129"/>
      </rPr>
      <t>VU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 xml:space="preserve">초 간격으로 </t>
    </r>
    <r>
      <rPr>
        <sz val="10"/>
        <rFont val="Malgun Gothic"/>
        <family val="3"/>
        <charset val="129"/>
      </rPr>
      <t xml:space="preserve">GET /login </t>
    </r>
    <r>
      <rPr>
        <sz val="10"/>
        <rFont val="Noto Sans CJK SC"/>
        <family val="2"/>
      </rPr>
      <t xml:space="preserve">요청
</t>
    </r>
    <r>
      <rPr>
        <sz val="10"/>
        <rFont val="Malgun Gothic"/>
        <family val="3"/>
        <charset val="129"/>
      </rPr>
      <t xml:space="preserve">3. k6 </t>
    </r>
    <r>
      <rPr>
        <sz val="10"/>
        <rFont val="Noto Sans CJK SC"/>
        <family val="2"/>
      </rPr>
      <t xml:space="preserve">결과의 </t>
    </r>
    <r>
      <rPr>
        <sz val="10"/>
        <rFont val="Malgun Gothic"/>
        <family val="3"/>
        <charset val="129"/>
      </rPr>
      <t>latency</t>
    </r>
    <r>
      <rPr>
        <sz val="10"/>
        <rFont val="Noto Sans CJK SC"/>
        <family val="2"/>
      </rPr>
      <t>와 실패율 기록</t>
    </r>
  </si>
  <si>
    <t>VU 100, duration 10s</t>
  </si>
  <si>
    <r>
      <rPr>
        <sz val="10"/>
        <rFont val="Noto Sans CJK SC"/>
        <family val="2"/>
      </rPr>
      <t xml:space="preserve">응답 실패율 </t>
    </r>
    <r>
      <rPr>
        <sz val="10"/>
        <rFont val="Malgun Gothic"/>
        <family val="3"/>
        <charset val="129"/>
      </rPr>
      <t>0%</t>
    </r>
  </si>
  <si>
    <r>
      <rPr>
        <sz val="10"/>
        <rFont val="Malgun Gothic"/>
        <family val="3"/>
        <charset val="129"/>
      </rPr>
      <t xml:space="preserve">avg 12.31ms, max 44.46ms,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0.00%</t>
    </r>
  </si>
  <si>
    <t>-</t>
  </si>
  <si>
    <t>k6 (loadtest1.js)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</si>
  <si>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2.1</t>
    </r>
  </si>
  <si>
    <r>
      <rPr>
        <sz val="10"/>
        <rFont val="Noto Sans CJK SC"/>
        <family val="2"/>
      </rPr>
      <t>판정 기준은 임시 기준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 xml:space="preserve">0%). </t>
    </r>
    <r>
      <rPr>
        <sz val="10"/>
        <rFont val="Noto Sans CJK SC"/>
        <family val="2"/>
      </rPr>
      <t xml:space="preserve">한 </t>
    </r>
    <r>
      <rPr>
        <sz val="10"/>
        <rFont val="Malgun Gothic"/>
        <family val="3"/>
        <charset val="129"/>
      </rPr>
      <t>PC</t>
    </r>
    <r>
      <rPr>
        <sz val="10"/>
        <rFont val="Noto Sans CJK SC"/>
        <family val="2"/>
      </rPr>
      <t>에서 부하 생성기와 서버를 함께 실행</t>
    </r>
  </si>
  <si>
    <t>PF-02</t>
  </si>
  <si>
    <t>VU 200, duration 10s</t>
  </si>
  <si>
    <r>
      <rPr>
        <sz val="10"/>
        <rFont val="Malgun Gothic"/>
        <family val="3"/>
        <charset val="129"/>
      </rPr>
      <t xml:space="preserve">avg 19.65ms, max 50.65ms,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4.45%</t>
    </r>
  </si>
  <si>
    <r>
      <rPr>
        <sz val="10"/>
        <rFont val="Noto Sans CJK SC"/>
        <family val="2"/>
      </rPr>
      <t xml:space="preserve">한 </t>
    </r>
    <r>
      <rPr>
        <sz val="10"/>
        <rFont val="Malgun Gothic"/>
        <family val="3"/>
        <charset val="129"/>
      </rPr>
      <t>PC</t>
    </r>
    <r>
      <rPr>
        <sz val="10"/>
        <rFont val="Noto Sans CJK SC"/>
        <family val="2"/>
      </rPr>
      <t>에서 부하 생성기와 서버를 함께 실행해 자원 경합 포함</t>
    </r>
  </si>
  <si>
    <t>PF-03</t>
  </si>
  <si>
    <t>VU 500, duration 10s</t>
  </si>
  <si>
    <r>
      <rPr>
        <sz val="10"/>
        <rFont val="Malgun Gothic"/>
        <family val="3"/>
        <charset val="129"/>
      </rPr>
      <t xml:space="preserve">avg 36.65ms, max 170.46ms,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7.12%</t>
    </r>
  </si>
  <si>
    <t>PF-04</t>
  </si>
  <si>
    <t>VU 1,000, duration 10s</t>
  </si>
  <si>
    <r>
      <rPr>
        <sz val="10"/>
        <rFont val="Malgun Gothic"/>
        <family val="3"/>
        <charset val="129"/>
      </rPr>
      <t xml:space="preserve">avg 59.87ms, max 329.53ms,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7.95%</t>
    </r>
  </si>
  <si>
    <t>PF-05</t>
  </si>
  <si>
    <t>VU 5,000, duration 10s</t>
  </si>
  <si>
    <r>
      <rPr>
        <sz val="10"/>
        <rFont val="Malgun Gothic"/>
        <family val="3"/>
        <charset val="129"/>
      </rPr>
      <t xml:space="preserve">avg 1.44s, max 2.23s,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16.28%</t>
    </r>
  </si>
  <si>
    <t>PF-06</t>
  </si>
  <si>
    <t>High</t>
  </si>
  <si>
    <t>VU 10,000, duration 10s</t>
  </si>
  <si>
    <r>
      <rPr>
        <sz val="10"/>
        <rFont val="Malgun Gothic"/>
        <family val="3"/>
        <charset val="129"/>
      </rPr>
      <t xml:space="preserve">avg 2.76s, max 3.73s,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47.84%</t>
    </r>
  </si>
  <si>
    <t>PF-07</t>
  </si>
  <si>
    <t>이용권 일괄 등록</t>
  </si>
  <si>
    <r>
      <rPr>
        <sz val="10"/>
        <color rgb="FF000000"/>
        <rFont val="Noto Sans CJK SC"/>
      </rPr>
      <t>관리자 계정</t>
    </r>
    <r>
      <rPr>
        <sz val="10"/>
        <color rgb="FF000000"/>
        <rFont val="Malgun Gothic"/>
        <family val="3"/>
        <charset val="129"/>
      </rPr>
      <t xml:space="preserve">(Basic </t>
    </r>
    <r>
      <rPr>
        <sz val="10"/>
        <color rgb="FF000000"/>
        <rFont val="Noto Sans CJK SC"/>
      </rPr>
      <t>인증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</si>
  <si>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1. loadtest2.js </t>
    </r>
    <r>
      <rPr>
        <sz val="10"/>
        <rFont val="Noto Sans CJK SC"/>
        <family val="2"/>
      </rPr>
      <t xml:space="preserve">실행 </t>
    </r>
    <r>
      <rPr>
        <sz val="10"/>
        <rFont val="Malgun Gothic"/>
        <family val="3"/>
        <charset val="129"/>
      </rPr>
      <t xml:space="preserve">(VU 20, shared-iterations 10,000, maxDuration 10m, redirects: 0)
2. 302 </t>
    </r>
    <r>
      <rPr>
        <sz val="10"/>
        <rFont val="Noto Sans CJK SC"/>
        <family val="2"/>
      </rPr>
      <t xml:space="preserve">응답 수 확인
</t>
    </r>
    <r>
      <rPr>
        <sz val="10"/>
        <rFont val="Malgun Gothic"/>
        <family val="3"/>
        <charset val="129"/>
      </rPr>
      <t>3. SELECT status, COUNT(*) FROM bulk_pass GROUP BY status;</t>
    </r>
  </si>
  <si>
    <t>packageSeq=1, userId=A1000000, startedAt=2026-12-31 10:00</t>
  </si>
  <si>
    <r>
      <rPr>
        <sz val="10"/>
        <rFont val="Malgun Gothic"/>
        <family val="3"/>
        <charset val="129"/>
      </rPr>
      <t>10,000</t>
    </r>
    <r>
      <rPr>
        <sz val="10"/>
        <rFont val="Noto Sans CJK SC"/>
        <family val="2"/>
      </rPr>
      <t xml:space="preserve">건 모두 </t>
    </r>
    <r>
      <rPr>
        <sz val="10"/>
        <rFont val="Malgun Gothic"/>
        <family val="3"/>
        <charset val="129"/>
      </rPr>
      <t xml:space="preserve">302 </t>
    </r>
    <r>
      <rPr>
        <sz val="10"/>
        <rFont val="Noto Sans CJK SC"/>
        <family val="2"/>
      </rPr>
      <t>응답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0%, bulk_pass READY 10,000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유실 없음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</si>
  <si>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10,000/10,000 </t>
    </r>
    <r>
      <rPr>
        <sz val="10"/>
        <rFont val="Noto Sans CJK SC"/>
        <family val="2"/>
      </rPr>
      <t xml:space="preserve">완료 </t>
    </r>
    <r>
      <rPr>
        <sz val="10"/>
        <rFont val="Malgun Gothic"/>
        <family val="3"/>
        <charset val="129"/>
      </rPr>
      <t>(1</t>
    </r>
    <r>
      <rPr>
        <sz val="10"/>
        <rFont val="Noto Sans CJK SC"/>
        <family val="2"/>
      </rPr>
      <t xml:space="preserve">분 </t>
    </r>
    <r>
      <rPr>
        <sz val="10"/>
        <rFont val="Malgun Gothic"/>
        <family val="3"/>
        <charset val="129"/>
      </rPr>
      <t>9.4</t>
    </r>
    <r>
      <rPr>
        <sz val="10"/>
        <rFont val="Noto Sans CJK SC"/>
        <family val="2"/>
      </rPr>
      <t>초</t>
    </r>
    <r>
      <rPr>
        <sz val="10"/>
        <rFont val="Malgun Gothic"/>
        <family val="3"/>
        <charset val="129"/>
      </rPr>
      <t xml:space="preserve">),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0%, READY 10,000</t>
    </r>
    <r>
      <rPr>
        <sz val="10"/>
        <rFont val="Noto Sans CJK SC"/>
        <family val="2"/>
      </rPr>
      <t>건</t>
    </r>
  </si>
  <si>
    <t>k6 (loadtest2.js) + SQL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</si>
  <si>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2.2</t>
    </r>
  </si>
  <si>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 xml:space="preserve">차 실행은 </t>
    </r>
    <r>
      <rPr>
        <sz val="10"/>
        <rFont val="Malgun Gothic"/>
        <family val="3"/>
        <charset val="129"/>
      </rPr>
      <t>k6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3"/>
        <charset val="129"/>
      </rPr>
      <t>302</t>
    </r>
    <r>
      <rPr>
        <sz val="10"/>
        <rFont val="Noto Sans CJK SC"/>
        <family val="2"/>
      </rPr>
      <t xml:space="preserve">를 따라가 목록 조회까지 측정 → </t>
    </r>
    <r>
      <rPr>
        <sz val="10"/>
        <rFont val="Malgun Gothic"/>
        <family val="3"/>
        <charset val="129"/>
      </rPr>
      <t>redirects: 0</t>
    </r>
    <r>
      <rPr>
        <sz val="10"/>
        <rFont val="Noto Sans CJK SC"/>
        <family val="2"/>
      </rPr>
      <t>으로 측정 대상 한정</t>
    </r>
  </si>
  <si>
    <t>PF-08</t>
  </si>
  <si>
    <r>
      <rPr>
        <sz val="10"/>
        <rFont val="Malgun Gothic"/>
        <family val="3"/>
        <charset val="129"/>
      </rPr>
      <t>1. bulkinsert.js</t>
    </r>
    <r>
      <rPr>
        <sz val="10"/>
        <rFont val="Noto Sans CJK SC"/>
        <family val="2"/>
      </rPr>
      <t xml:space="preserve">를 </t>
    </r>
    <r>
      <rPr>
        <sz val="10"/>
        <rFont val="Malgun Gothic"/>
        <family val="3"/>
        <charset val="129"/>
      </rPr>
      <t>iterations 100 / 200 / 400 / 10,000</t>
    </r>
    <r>
      <rPr>
        <sz val="10"/>
        <rFont val="Noto Sans CJK SC"/>
        <family val="2"/>
      </rPr>
      <t xml:space="preserve">으로 각각 실행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>평균 응답 시간과 실패율 기록</t>
    </r>
  </si>
  <si>
    <t>VU 20, iterations 100·200·400·10,000</t>
  </si>
  <si>
    <r>
      <rPr>
        <sz val="10"/>
        <rFont val="Noto Sans CJK SC"/>
        <family val="2"/>
      </rPr>
      <t>건수와 무관하게 평균 응답 시간 유지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실패율 </t>
    </r>
    <r>
      <rPr>
        <sz val="10"/>
        <rFont val="Malgun Gothic"/>
        <family val="3"/>
        <charset val="129"/>
      </rPr>
      <t>0%</t>
    </r>
  </si>
  <si>
    <r>
      <rPr>
        <sz val="10"/>
        <rFont val="Malgun Gothic"/>
        <family val="3"/>
        <charset val="129"/>
      </rPr>
      <t xml:space="preserve">avg 111.38 / 115.96 / 114.94 / 125.92ms, </t>
    </r>
    <r>
      <rPr>
        <sz val="10"/>
        <rFont val="Noto Sans CJK SC"/>
        <family val="2"/>
      </rPr>
      <t xml:space="preserve">실패율 모두 </t>
    </r>
    <r>
      <rPr>
        <sz val="10"/>
        <rFont val="Malgun Gothic"/>
        <family val="3"/>
        <charset val="129"/>
      </rPr>
      <t>0%</t>
    </r>
  </si>
  <si>
    <t>k6 (bulkinsert.js)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</si>
  <si>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3.5</t>
    </r>
  </si>
  <si>
    <t>PF-09</t>
  </si>
  <si>
    <t>이용권 일괄 등록 목록</t>
  </si>
  <si>
    <r>
      <rPr>
        <sz val="10"/>
        <color rgb="FF000000"/>
        <rFont val="Malgun Gothic"/>
        <family val="3"/>
        <charset val="129"/>
      </rPr>
      <t xml:space="preserve">bulk_pass </t>
    </r>
    <r>
      <rPr>
        <sz val="10"/>
        <color rgb="FF000000"/>
        <rFont val="Noto Sans CJK SC"/>
      </rPr>
      <t>수천 건 이상 적재</t>
    </r>
  </si>
  <si>
    <r>
      <rPr>
        <sz val="10"/>
        <rFont val="Malgun Gothic"/>
        <family val="3"/>
        <charset val="129"/>
      </rPr>
      <t>1. bulk_pass</t>
    </r>
    <r>
      <rPr>
        <sz val="10"/>
        <rFont val="Noto Sans CJK SC"/>
        <family val="2"/>
      </rPr>
      <t xml:space="preserve">를 대량 적재
</t>
    </r>
    <r>
      <rPr>
        <sz val="10"/>
        <rFont val="Malgun Gothic"/>
        <family val="3"/>
        <charset val="129"/>
      </rPr>
      <t xml:space="preserve">2. GET /admin/bulk-pass </t>
    </r>
    <r>
      <rPr>
        <sz val="10"/>
        <rFont val="Noto Sans CJK SC"/>
        <family val="2"/>
      </rPr>
      <t>응답 시간 측정</t>
    </r>
  </si>
  <si>
    <r>
      <rPr>
        <sz val="10"/>
        <rFont val="Malgun Gothic"/>
        <family val="3"/>
        <charset val="129"/>
      </rPr>
      <t>bulk_pass 10,000</t>
    </r>
    <r>
      <rPr>
        <sz val="10"/>
        <rFont val="Noto Sans CJK SC"/>
        <family val="2"/>
      </rPr>
      <t>건</t>
    </r>
  </si>
  <si>
    <t>목록이 페이징되어 데이터 양과 무관하게 일정한 응답 시간</t>
  </si>
  <si>
    <r>
      <rPr>
        <sz val="10"/>
        <rFont val="Noto Sans CJK SC"/>
        <family val="2"/>
      </rPr>
      <t>페이징 없이 전체 목록을 조회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렌더링</t>
    </r>
    <r>
      <rPr>
        <sz val="10"/>
        <rFont val="Malgun Gothic"/>
        <family val="3"/>
        <charset val="129"/>
      </rPr>
      <t>. 1</t>
    </r>
    <r>
      <rPr>
        <sz val="10"/>
        <rFont val="Noto Sans CJK SC"/>
        <family val="2"/>
      </rPr>
      <t>차 등록 테스트에서 반복할수록 느려짐 관찰</t>
    </r>
  </si>
  <si>
    <r>
      <rPr>
        <sz val="10"/>
        <rFont val="Malgun Gothic"/>
        <family val="3"/>
        <charset val="129"/>
      </rPr>
      <t xml:space="preserve">k6 + </t>
    </r>
    <r>
      <rPr>
        <sz val="10"/>
        <rFont val="Noto Sans CJK SC"/>
        <family val="2"/>
      </rPr>
      <t>코드 분석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</si>
  <si>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2.2, 6.2</t>
    </r>
  </si>
  <si>
    <t>응답 시간 수치는 별도 측정 필요</t>
  </si>
  <si>
    <t>BT-01</t>
  </si>
  <si>
    <r>
      <rPr>
        <sz val="10"/>
        <rFont val="Malgun Gothic"/>
        <family val="3"/>
        <charset val="129"/>
      </rPr>
      <t>[</t>
    </r>
    <r>
      <rPr>
        <sz val="10"/>
        <rFont val="Noto Sans CJK SC"/>
        <family val="2"/>
      </rPr>
      <t>개선 전</t>
    </r>
    <r>
      <rPr>
        <sz val="10"/>
        <rFont val="Malgun Gothic"/>
        <family val="3"/>
        <charset val="129"/>
      </rPr>
      <t xml:space="preserve">] addPassesJob </t>
    </r>
    <r>
      <rPr>
        <sz val="10"/>
        <rFont val="Noto Sans CJK SC"/>
        <family val="2"/>
      </rPr>
      <t>처리 시간</t>
    </r>
  </si>
  <si>
    <r>
      <rPr>
        <sz val="10"/>
        <rFont val="Malgun Gothic"/>
        <family val="3"/>
        <charset val="129"/>
      </rPr>
      <t>1. bulkinsert.js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3"/>
        <charset val="129"/>
      </rPr>
      <t>bulk_pass</t>
    </r>
    <r>
      <rPr>
        <sz val="10"/>
        <rFont val="Noto Sans CJK SC"/>
        <family val="2"/>
      </rPr>
      <t xml:space="preserve">를 </t>
    </r>
    <r>
      <rPr>
        <sz val="10"/>
        <rFont val="Malgun Gothic"/>
        <family val="3"/>
        <charset val="129"/>
      </rPr>
      <t>N</t>
    </r>
    <r>
      <rPr>
        <sz val="10"/>
        <rFont val="Noto Sans CJK SC"/>
        <family val="2"/>
      </rPr>
      <t xml:space="preserve">건 적재
</t>
    </r>
    <r>
      <rPr>
        <sz val="10"/>
        <rFont val="Malgun Gothic"/>
        <family val="3"/>
        <charset val="129"/>
      </rPr>
      <t>2. batch.js</t>
    </r>
    <r>
      <rPr>
        <sz val="10"/>
        <rFont val="Noto Sans CJK SC"/>
        <family val="2"/>
      </rPr>
      <t xml:space="preserve">로 </t>
    </r>
    <r>
      <rPr>
        <sz val="10"/>
        <rFont val="Malgun Gothic"/>
        <family val="3"/>
        <charset val="129"/>
      </rPr>
      <t>POST /job/launcher (addPassesJob) 1</t>
    </r>
    <r>
      <rPr>
        <sz val="10"/>
        <rFont val="Noto Sans CJK SC"/>
        <family val="2"/>
      </rPr>
      <t xml:space="preserve">회 호출
</t>
    </r>
    <r>
      <rPr>
        <sz val="10"/>
        <rFont val="Malgun Gothic"/>
        <family val="3"/>
        <charset val="129"/>
      </rPr>
      <t xml:space="preserve">3. </t>
    </r>
    <r>
      <rPr>
        <sz val="10"/>
        <rFont val="Noto Sans CJK SC"/>
        <family val="2"/>
      </rPr>
      <t xml:space="preserve">응답 시간과 </t>
    </r>
    <r>
      <rPr>
        <sz val="10"/>
        <rFont val="Malgun Gothic"/>
        <family val="3"/>
        <charset val="129"/>
      </rPr>
      <t xml:space="preserve">COMPLETED </t>
    </r>
    <r>
      <rPr>
        <sz val="10"/>
        <rFont val="Noto Sans CJK SC"/>
        <family val="2"/>
      </rPr>
      <t>포함 여부 확인</t>
    </r>
  </si>
  <si>
    <r>
      <rPr>
        <sz val="10"/>
        <rFont val="Malgun Gothic"/>
        <family val="3"/>
        <charset val="129"/>
      </rPr>
      <t>bulk_pass 100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 xml:space="preserve">모두 </t>
    </r>
    <r>
      <rPr>
        <sz val="10"/>
        <rFont val="Malgun Gothic"/>
        <family val="3"/>
        <charset val="129"/>
      </rPr>
      <t>userId A1000000)</t>
    </r>
  </si>
  <si>
    <r>
      <rPr>
        <sz val="10"/>
        <rFont val="Malgun Gothic"/>
        <family val="3"/>
        <charset val="129"/>
      </rPr>
      <t>300</t>
    </r>
    <r>
      <rPr>
        <sz val="10"/>
        <rFont val="Noto Sans CJK SC"/>
        <family val="2"/>
      </rPr>
      <t>초</t>
    </r>
    <r>
      <rPr>
        <sz val="10"/>
        <rFont val="Malgun Gothic"/>
        <family val="3"/>
        <charset val="129"/>
      </rPr>
      <t xml:space="preserve">(timeout) </t>
    </r>
    <r>
      <rPr>
        <sz val="10"/>
        <rFont val="Noto Sans CJK SC"/>
        <family val="2"/>
      </rPr>
      <t xml:space="preserve">안에 </t>
    </r>
    <r>
      <rPr>
        <sz val="10"/>
        <rFont val="Malgun Gothic"/>
        <family val="3"/>
        <charset val="129"/>
      </rPr>
      <t xml:space="preserve">COMPLETED </t>
    </r>
    <r>
      <rPr>
        <sz val="10"/>
        <rFont val="Noto Sans CJK SC"/>
        <family val="2"/>
      </rPr>
      <t>응답</t>
    </r>
  </si>
  <si>
    <r>
      <rPr>
        <sz val="10"/>
        <rFont val="Malgun Gothic"/>
        <family val="3"/>
        <charset val="129"/>
      </rPr>
      <t>17.01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3"/>
        <charset val="129"/>
      </rPr>
      <t>(170.1ms/</t>
    </r>
    <r>
      <rPr>
        <sz val="10"/>
        <rFont val="Noto Sans CJK SC"/>
        <family val="2"/>
      </rPr>
      <t>건</t>
    </r>
    <r>
      <rPr>
        <sz val="10"/>
        <rFont val="Malgun Gothic"/>
        <family val="3"/>
        <charset val="129"/>
      </rPr>
      <t>), 200 OK, COMPLETED</t>
    </r>
  </si>
  <si>
    <t>k6 (bulkinsert.js, batch.js)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</si>
  <si>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3.2, 3.5</t>
    </r>
  </si>
  <si>
    <t>BT-02</t>
  </si>
  <si>
    <r>
      <rPr>
        <sz val="10"/>
        <rFont val="Malgun Gothic"/>
        <family val="3"/>
        <charset val="129"/>
      </rPr>
      <t>bulk_pass 200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 xml:space="preserve">모두 </t>
    </r>
    <r>
      <rPr>
        <sz val="10"/>
        <rFont val="Malgun Gothic"/>
        <family val="3"/>
        <charset val="129"/>
      </rPr>
      <t>userId A1000000)</t>
    </r>
  </si>
  <si>
    <r>
      <rPr>
        <sz val="10"/>
        <rFont val="Malgun Gothic"/>
        <family val="3"/>
        <charset val="129"/>
      </rPr>
      <t>99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3"/>
        <charset val="129"/>
      </rPr>
      <t>(495.0ms/</t>
    </r>
    <r>
      <rPr>
        <sz val="10"/>
        <rFont val="Noto Sans CJK SC"/>
        <family val="2"/>
      </rPr>
      <t>건</t>
    </r>
    <r>
      <rPr>
        <sz val="10"/>
        <rFont val="Malgun Gothic"/>
        <family val="3"/>
        <charset val="129"/>
      </rPr>
      <t>), 200 OK, COMPLETED</t>
    </r>
  </si>
  <si>
    <t>BT-03</t>
  </si>
  <si>
    <r>
      <rPr>
        <sz val="10"/>
        <rFont val="Malgun Gothic"/>
        <family val="3"/>
        <charset val="129"/>
      </rPr>
      <t>bulk_pass 400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 xml:space="preserve">모두 </t>
    </r>
    <r>
      <rPr>
        <sz val="10"/>
        <rFont val="Malgun Gothic"/>
        <family val="3"/>
        <charset val="129"/>
      </rPr>
      <t>userId A1000000)</t>
    </r>
  </si>
  <si>
    <r>
      <rPr>
        <sz val="10"/>
        <rFont val="Malgun Gothic"/>
        <family val="3"/>
        <charset val="129"/>
      </rPr>
      <t>300</t>
    </r>
    <r>
      <rPr>
        <sz val="10"/>
        <rFont val="Noto Sans CJK SC"/>
        <family val="2"/>
      </rPr>
      <t xml:space="preserve">초 안에 응답 없음 </t>
    </r>
    <r>
      <rPr>
        <sz val="10"/>
        <rFont val="Malgun Gothic"/>
        <family val="3"/>
        <charset val="129"/>
      </rPr>
      <t>(k6 timeout)</t>
    </r>
  </si>
  <si>
    <t>BT-04</t>
  </si>
  <si>
    <r>
      <rPr>
        <sz val="10"/>
        <rFont val="Malgun Gothic"/>
        <family val="3"/>
        <charset val="129"/>
      </rPr>
      <t>[</t>
    </r>
    <r>
      <rPr>
        <sz val="10"/>
        <rFont val="Noto Sans CJK SC"/>
        <family val="2"/>
      </rPr>
      <t>개선 전</t>
    </r>
    <r>
      <rPr>
        <sz val="10"/>
        <rFont val="Malgun Gothic"/>
        <family val="3"/>
        <charset val="129"/>
      </rPr>
      <t xml:space="preserve">] </t>
    </r>
    <r>
      <rPr>
        <sz val="10"/>
        <rFont val="Noto Sans CJK SC"/>
        <family val="2"/>
      </rPr>
      <t>처리 시간 증가 패턴</t>
    </r>
  </si>
  <si>
    <r>
      <rPr>
        <sz val="10"/>
        <rFont val="Malgun Gothic"/>
        <family val="3"/>
        <charset val="129"/>
      </rPr>
      <t>BT-01, BT-02</t>
    </r>
    <r>
      <rPr>
        <sz val="10"/>
        <rFont val="Noto Sans CJK SC"/>
        <family val="2"/>
      </rPr>
      <t>의 소요 시간 비교</t>
    </r>
  </si>
  <si>
    <r>
      <rPr>
        <sz val="10"/>
        <rFont val="Malgun Gothic"/>
        <family val="3"/>
        <charset val="129"/>
      </rPr>
      <t>100</t>
    </r>
    <r>
      <rPr>
        <sz val="10"/>
        <rFont val="Noto Sans CJK SC"/>
        <family val="2"/>
      </rPr>
      <t xml:space="preserve">건 → </t>
    </r>
    <r>
      <rPr>
        <sz val="10"/>
        <rFont val="Malgun Gothic"/>
        <family val="3"/>
        <charset val="129"/>
      </rPr>
      <t>200</t>
    </r>
    <r>
      <rPr>
        <sz val="10"/>
        <rFont val="Noto Sans CJK SC"/>
        <family val="2"/>
      </rPr>
      <t>건</t>
    </r>
  </si>
  <si>
    <r>
      <rPr>
        <sz val="10"/>
        <rFont val="Noto Sans CJK SC"/>
        <family val="2"/>
      </rPr>
      <t xml:space="preserve">건수가 </t>
    </r>
    <r>
      <rPr>
        <sz val="10"/>
        <rFont val="Malgun Gothic"/>
        <family val="3"/>
        <charset val="129"/>
      </rPr>
      <t>2</t>
    </r>
    <r>
      <rPr>
        <sz val="10"/>
        <rFont val="Noto Sans CJK SC"/>
        <family val="2"/>
      </rPr>
      <t xml:space="preserve">배가 되면 처리 시간도 약 </t>
    </r>
    <r>
      <rPr>
        <sz val="10"/>
        <rFont val="Malgun Gothic"/>
        <family val="3"/>
        <charset val="129"/>
      </rPr>
      <t>2</t>
    </r>
    <r>
      <rPr>
        <sz val="10"/>
        <rFont val="Noto Sans CJK SC"/>
        <family val="2"/>
      </rPr>
      <t xml:space="preserve">배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선형 증가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</si>
  <si>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 xml:space="preserve">건수 </t>
    </r>
    <r>
      <rPr>
        <sz val="10"/>
        <rFont val="Malgun Gothic"/>
        <family val="3"/>
        <charset val="129"/>
      </rPr>
      <t>2</t>
    </r>
    <r>
      <rPr>
        <sz val="10"/>
        <rFont val="Noto Sans CJK SC"/>
        <family val="2"/>
      </rPr>
      <t xml:space="preserve">배에 시간 </t>
    </r>
    <r>
      <rPr>
        <sz val="10"/>
        <rFont val="Malgun Gothic"/>
        <family val="3"/>
        <charset val="129"/>
      </rPr>
      <t>5.8</t>
    </r>
    <r>
      <rPr>
        <sz val="10"/>
        <rFont val="Noto Sans CJK SC"/>
        <family val="2"/>
      </rPr>
      <t xml:space="preserve">배 </t>
    </r>
    <r>
      <rPr>
        <sz val="10"/>
        <rFont val="Malgun Gothic"/>
        <family val="3"/>
        <charset val="129"/>
      </rPr>
      <t>(17.01</t>
    </r>
    <r>
      <rPr>
        <sz val="10"/>
        <rFont val="Noto Sans CJK SC"/>
        <family val="2"/>
      </rPr>
      <t xml:space="preserve">초 → </t>
    </r>
    <r>
      <rPr>
        <sz val="10"/>
        <rFont val="Malgun Gothic"/>
        <family val="3"/>
        <charset val="129"/>
      </rPr>
      <t>99</t>
    </r>
    <r>
      <rPr>
        <sz val="10"/>
        <rFont val="Noto Sans CJK SC"/>
        <family val="2"/>
      </rPr>
      <t>초</t>
    </r>
    <r>
      <rPr>
        <sz val="10"/>
        <rFont val="Malgun Gothic"/>
        <family val="3"/>
        <charset val="129"/>
      </rPr>
      <t xml:space="preserve">). </t>
    </r>
    <r>
      <rPr>
        <sz val="10"/>
        <rFont val="Noto Sans CJK SC"/>
        <family val="2"/>
      </rPr>
      <t xml:space="preserve">건당 </t>
    </r>
    <r>
      <rPr>
        <sz val="10"/>
        <rFont val="Malgun Gothic"/>
        <family val="3"/>
        <charset val="129"/>
      </rPr>
      <t>SELECT 2k+2</t>
    </r>
    <r>
      <rPr>
        <sz val="10"/>
        <rFont val="Noto Sans CJK SC"/>
        <family val="2"/>
      </rPr>
      <t>회 반복 조회가 원인</t>
    </r>
  </si>
  <si>
    <r>
      <rPr>
        <sz val="10"/>
        <rFont val="Noto Sans CJK SC"/>
        <family val="2"/>
      </rPr>
      <t xml:space="preserve">측정값 비교 </t>
    </r>
    <r>
      <rPr>
        <sz val="10"/>
        <rFont val="Malgun Gothic"/>
        <family val="3"/>
        <charset val="129"/>
      </rPr>
      <t xml:space="preserve">+ </t>
    </r>
    <r>
      <rPr>
        <sz val="10"/>
        <rFont val="Noto Sans CJK SC"/>
        <family val="2"/>
      </rPr>
      <t>코드 분석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</si>
  <si>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3.2, 3.3</t>
    </r>
  </si>
  <si>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만 건 요구사항 처리 불가로 판단</t>
    </r>
  </si>
  <si>
    <t>BT-05</t>
  </si>
  <si>
    <r>
      <rPr>
        <sz val="10"/>
        <rFont val="Malgun Gothic"/>
        <family val="3"/>
        <charset val="129"/>
      </rPr>
      <t>[</t>
    </r>
    <r>
      <rPr>
        <sz val="10"/>
        <rFont val="Noto Sans CJK SC"/>
        <family val="2"/>
      </rPr>
      <t>개선 후</t>
    </r>
    <r>
      <rPr>
        <sz val="10"/>
        <rFont val="Malgun Gothic"/>
        <family val="3"/>
        <charset val="129"/>
      </rPr>
      <t xml:space="preserve">] addPassesJob </t>
    </r>
    <r>
      <rPr>
        <sz val="10"/>
        <rFont val="Noto Sans CJK SC"/>
        <family val="2"/>
      </rPr>
      <t>처리 시간</t>
    </r>
  </si>
  <si>
    <r>
      <rPr>
        <sz val="10"/>
        <rFont val="Malgun Gothic"/>
        <family val="3"/>
        <charset val="129"/>
      </rPr>
      <t>161.48ms (1.61ms/</t>
    </r>
    <r>
      <rPr>
        <sz val="10"/>
        <rFont val="Noto Sans CJK SC"/>
        <family val="2"/>
      </rPr>
      <t>건</t>
    </r>
    <r>
      <rPr>
        <sz val="10"/>
        <rFont val="Malgun Gothic"/>
        <family val="3"/>
        <charset val="129"/>
      </rPr>
      <t>), 200 OK, COMPLETED</t>
    </r>
  </si>
  <si>
    <t>BT-06</t>
  </si>
  <si>
    <r>
      <rPr>
        <sz val="10"/>
        <rFont val="Malgun Gothic"/>
        <family val="3"/>
        <charset val="129"/>
      </rPr>
      <t>278.15ms (1.39ms/</t>
    </r>
    <r>
      <rPr>
        <sz val="10"/>
        <rFont val="Noto Sans CJK SC"/>
        <family val="2"/>
      </rPr>
      <t>건</t>
    </r>
    <r>
      <rPr>
        <sz val="10"/>
        <rFont val="Malgun Gothic"/>
        <family val="3"/>
        <charset val="129"/>
      </rPr>
      <t>), 200 OK, COMPLETED</t>
    </r>
  </si>
  <si>
    <t>BT-07</t>
  </si>
  <si>
    <r>
      <rPr>
        <sz val="10"/>
        <rFont val="Malgun Gothic"/>
        <family val="3"/>
        <charset val="129"/>
      </rPr>
      <t>467.71ms (1.17ms/</t>
    </r>
    <r>
      <rPr>
        <sz val="10"/>
        <rFont val="Noto Sans CJK SC"/>
        <family val="2"/>
      </rPr>
      <t>건</t>
    </r>
    <r>
      <rPr>
        <sz val="10"/>
        <rFont val="Malgun Gothic"/>
        <family val="3"/>
        <charset val="129"/>
      </rPr>
      <t>), 200 OK, COMPLETED</t>
    </r>
  </si>
  <si>
    <t>BT-08</t>
  </si>
  <si>
    <r>
      <rPr>
        <sz val="10"/>
        <rFont val="Malgun Gothic"/>
        <family val="3"/>
        <charset val="129"/>
      </rPr>
      <t>bulk_pass 10,000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 xml:space="preserve">모두 </t>
    </r>
    <r>
      <rPr>
        <sz val="10"/>
        <rFont val="Malgun Gothic"/>
        <family val="3"/>
        <charset val="129"/>
      </rPr>
      <t>userId A1000000)</t>
    </r>
  </si>
  <si>
    <r>
      <rPr>
        <sz val="10"/>
        <rFont val="Malgun Gothic"/>
        <family val="3"/>
        <charset val="129"/>
      </rPr>
      <t>11.39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3"/>
        <charset val="129"/>
      </rPr>
      <t>(1.14ms/</t>
    </r>
    <r>
      <rPr>
        <sz val="10"/>
        <rFont val="Noto Sans CJK SC"/>
        <family val="2"/>
      </rPr>
      <t>건</t>
    </r>
    <r>
      <rPr>
        <sz val="10"/>
        <rFont val="Malgun Gothic"/>
        <family val="3"/>
        <charset val="129"/>
      </rPr>
      <t>), 200 OK, COMPLETED</t>
    </r>
  </si>
  <si>
    <t>BT-09</t>
  </si>
  <si>
    <r>
      <rPr>
        <sz val="10"/>
        <rFont val="Malgun Gothic"/>
        <family val="3"/>
        <charset val="129"/>
      </rPr>
      <t>[</t>
    </r>
    <r>
      <rPr>
        <sz val="10"/>
        <rFont val="Noto Sans CJK SC"/>
        <family val="2"/>
      </rPr>
      <t>개선 후</t>
    </r>
    <r>
      <rPr>
        <sz val="10"/>
        <rFont val="Malgun Gothic"/>
        <family val="3"/>
        <charset val="129"/>
      </rPr>
      <t xml:space="preserve">] </t>
    </r>
    <r>
      <rPr>
        <sz val="10"/>
        <rFont val="Noto Sans CJK SC"/>
        <family val="2"/>
      </rPr>
      <t>처리 시간 증가 패턴</t>
    </r>
  </si>
  <si>
    <r>
      <rPr>
        <sz val="10"/>
        <rFont val="Malgun Gothic"/>
        <family val="3"/>
        <charset val="129"/>
      </rPr>
      <t>BT-07, BT-08</t>
    </r>
    <r>
      <rPr>
        <sz val="10"/>
        <rFont val="Noto Sans CJK SC"/>
        <family val="2"/>
      </rPr>
      <t>의 소요 시간 비교</t>
    </r>
  </si>
  <si>
    <r>
      <rPr>
        <sz val="10"/>
        <rFont val="Malgun Gothic"/>
        <family val="3"/>
        <charset val="129"/>
      </rPr>
      <t>400</t>
    </r>
    <r>
      <rPr>
        <sz val="10"/>
        <rFont val="Noto Sans CJK SC"/>
        <family val="2"/>
      </rPr>
      <t xml:space="preserve">건 → </t>
    </r>
    <r>
      <rPr>
        <sz val="10"/>
        <rFont val="Malgun Gothic"/>
        <family val="3"/>
        <charset val="129"/>
      </rPr>
      <t>10,000</t>
    </r>
    <r>
      <rPr>
        <sz val="10"/>
        <rFont val="Noto Sans CJK SC"/>
        <family val="2"/>
      </rPr>
      <t>건</t>
    </r>
  </si>
  <si>
    <t>건수에 비례하는 선형 증가</t>
  </si>
  <si>
    <r>
      <rPr>
        <sz val="10"/>
        <rFont val="Noto Sans CJK SC"/>
        <family val="2"/>
      </rPr>
      <t xml:space="preserve">건수 </t>
    </r>
    <r>
      <rPr>
        <sz val="10"/>
        <rFont val="Malgun Gothic"/>
        <family val="3"/>
        <charset val="129"/>
      </rPr>
      <t>25</t>
    </r>
    <r>
      <rPr>
        <sz val="10"/>
        <rFont val="Noto Sans CJK SC"/>
        <family val="2"/>
      </rPr>
      <t xml:space="preserve">배에 시간 </t>
    </r>
    <r>
      <rPr>
        <sz val="10"/>
        <rFont val="Malgun Gothic"/>
        <family val="3"/>
        <charset val="129"/>
      </rPr>
      <t>24.4</t>
    </r>
    <r>
      <rPr>
        <sz val="10"/>
        <rFont val="Noto Sans CJK SC"/>
        <family val="2"/>
      </rPr>
      <t xml:space="preserve">배 </t>
    </r>
    <r>
      <rPr>
        <sz val="10"/>
        <rFont val="Malgun Gothic"/>
        <family val="3"/>
        <charset val="129"/>
      </rPr>
      <t>(467.71ms → 11.39</t>
    </r>
    <r>
      <rPr>
        <sz val="10"/>
        <rFont val="Noto Sans CJK SC"/>
        <family val="2"/>
      </rPr>
      <t>초</t>
    </r>
    <r>
      <rPr>
        <sz val="10"/>
        <rFont val="Malgun Gothic"/>
        <family val="3"/>
        <charset val="129"/>
      </rPr>
      <t>)</t>
    </r>
  </si>
  <si>
    <t>측정값 비교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</si>
  <si>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3.5, 3.6</t>
    </r>
  </si>
  <si>
    <r>
      <rPr>
        <sz val="10"/>
        <rFont val="Malgun Gothic"/>
        <family val="3"/>
        <charset val="129"/>
      </rPr>
      <t xml:space="preserve">PERF-001 </t>
    </r>
    <r>
      <rPr>
        <sz val="10"/>
        <rFont val="Noto Sans CJK SC"/>
        <family val="2"/>
      </rPr>
      <t>수정 확인</t>
    </r>
  </si>
  <si>
    <t>BT-10</t>
  </si>
  <si>
    <r>
      <rPr>
        <sz val="10"/>
        <rFont val="Malgun Gothic"/>
        <family val="3"/>
        <charset val="129"/>
      </rPr>
      <t xml:space="preserve">bulk_pass </t>
    </r>
    <r>
      <rPr>
        <sz val="10"/>
        <rFont val="Noto Sans CJK SC"/>
        <family val="2"/>
      </rPr>
      <t>상태 변경</t>
    </r>
  </si>
  <si>
    <t>데이터 정합성</t>
  </si>
  <si>
    <t>SELECT status, COUNT(*) FROM bulk_pass GROUP BY status;</t>
  </si>
  <si>
    <r>
      <rPr>
        <sz val="10"/>
        <rFont val="Noto Sans CJK SC"/>
        <family val="2"/>
      </rPr>
      <t xml:space="preserve">처리 대상 </t>
    </r>
    <r>
      <rPr>
        <sz val="10"/>
        <rFont val="Malgun Gothic"/>
        <family val="3"/>
        <charset val="129"/>
      </rPr>
      <t>N</t>
    </r>
    <r>
      <rPr>
        <sz val="10"/>
        <rFont val="Noto Sans CJK SC"/>
        <family val="2"/>
      </rPr>
      <t>건</t>
    </r>
  </si>
  <si>
    <r>
      <rPr>
        <sz val="10"/>
        <rFont val="Noto Sans CJK SC"/>
        <family val="2"/>
      </rPr>
      <t xml:space="preserve">처리 대상 </t>
    </r>
    <r>
      <rPr>
        <sz val="10"/>
        <rFont val="Malgun Gothic"/>
        <family val="3"/>
        <charset val="129"/>
      </rPr>
      <t>N</t>
    </r>
    <r>
      <rPr>
        <sz val="10"/>
        <rFont val="Noto Sans CJK SC"/>
        <family val="2"/>
      </rPr>
      <t xml:space="preserve">건이 모두 </t>
    </r>
    <r>
      <rPr>
        <sz val="10"/>
        <rFont val="Malgun Gothic"/>
        <family val="3"/>
        <charset val="129"/>
      </rPr>
      <t>COMPLETED, READY 0</t>
    </r>
    <r>
      <rPr>
        <sz val="10"/>
        <rFont val="Noto Sans CJK SC"/>
        <family val="2"/>
      </rPr>
      <t>건</t>
    </r>
  </si>
  <si>
    <r>
      <rPr>
        <sz val="10"/>
        <rFont val="Malgun Gothic"/>
        <family val="3"/>
        <charset val="129"/>
      </rPr>
      <t>N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3"/>
        <charset val="129"/>
      </rPr>
      <t xml:space="preserve">COMPLETED </t>
    </r>
    <r>
      <rPr>
        <sz val="10"/>
        <rFont val="Noto Sans CJK SC"/>
        <family val="2"/>
      </rPr>
      <t>확인</t>
    </r>
  </si>
  <si>
    <t>SQL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</si>
  <si>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3.1</t>
    </r>
  </si>
  <si>
    <t>BT-11</t>
  </si>
  <si>
    <r>
      <rPr>
        <sz val="10"/>
        <rFont val="Malgun Gothic"/>
        <family val="3"/>
        <charset val="129"/>
      </rPr>
      <t xml:space="preserve">pass·booking </t>
    </r>
    <r>
      <rPr>
        <sz val="10"/>
        <rFont val="Noto Sans CJK SC"/>
        <family val="2"/>
      </rPr>
      <t>생성 수</t>
    </r>
  </si>
  <si>
    <t>1. SELECT COUNT(*) FROM pass;
2. SELECT COUNT(*) FROM booking;</t>
  </si>
  <si>
    <r>
      <rPr>
        <sz val="10"/>
        <rFont val="Malgun Gothic"/>
        <family val="3"/>
        <charset val="129"/>
      </rPr>
      <t>pass N</t>
    </r>
    <r>
      <rPr>
        <sz val="10"/>
        <rFont val="Noto Sans CJK SC"/>
        <family val="2"/>
      </rPr>
      <t>건</t>
    </r>
    <r>
      <rPr>
        <sz val="10"/>
        <rFont val="Malgun Gothic"/>
        <family val="3"/>
        <charset val="129"/>
      </rPr>
      <t>, booking N</t>
    </r>
    <r>
      <rPr>
        <sz val="10"/>
        <rFont val="Noto Sans CJK SC"/>
        <family val="2"/>
      </rPr>
      <t xml:space="preserve">건 생성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개선 전과 동일한 동작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</si>
  <si>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 xml:space="preserve">각 </t>
    </r>
    <r>
      <rPr>
        <sz val="10"/>
        <rFont val="Malgun Gothic"/>
        <family val="3"/>
        <charset val="129"/>
      </rPr>
      <t>N</t>
    </r>
    <r>
      <rPr>
        <sz val="10"/>
        <rFont val="Noto Sans CJK SC"/>
        <family val="2"/>
      </rPr>
      <t>건 생성 확인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</si>
  <si>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3.4</t>
    </r>
  </si>
  <si>
    <t>BT-12</t>
  </si>
  <si>
    <r>
      <rPr>
        <sz val="10"/>
        <rFont val="Malgun Gothic"/>
        <family val="3"/>
        <charset val="129"/>
      </rPr>
      <t>booking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3"/>
        <charset val="129"/>
      </rPr>
      <t xml:space="preserve">pass_seq </t>
    </r>
    <r>
      <rPr>
        <sz val="10"/>
        <rFont val="Noto Sans CJK SC"/>
        <family val="2"/>
      </rPr>
      <t>고유성</t>
    </r>
  </si>
  <si>
    <t>SELECT COUNT(DISTINCT pass_seq) FROM booking;</t>
  </si>
  <si>
    <r>
      <rPr>
        <sz val="10"/>
        <rFont val="Noto Sans CJK SC"/>
        <family val="2"/>
      </rPr>
      <t xml:space="preserve">서로 다른 </t>
    </r>
    <r>
      <rPr>
        <sz val="10"/>
        <rFont val="Malgun Gothic"/>
        <family val="3"/>
        <charset val="129"/>
      </rPr>
      <t>pass_seq</t>
    </r>
    <r>
      <rPr>
        <sz val="10"/>
        <rFont val="Noto Sans CJK SC"/>
        <family val="2"/>
      </rPr>
      <t xml:space="preserve">가 </t>
    </r>
    <r>
      <rPr>
        <sz val="10"/>
        <rFont val="Malgun Gothic"/>
        <family val="3"/>
        <charset val="129"/>
      </rPr>
      <t>N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3"/>
        <charset val="129"/>
      </rPr>
      <t>(booking</t>
    </r>
    <r>
      <rPr>
        <sz val="10"/>
        <rFont val="Noto Sans CJK SC"/>
        <family val="2"/>
      </rPr>
      <t>마다 다른 이용권 연결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</si>
  <si>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N</t>
    </r>
    <r>
      <rPr>
        <sz val="10"/>
        <rFont val="Noto Sans CJK SC"/>
        <family val="2"/>
      </rPr>
      <t>개 확인</t>
    </r>
  </si>
  <si>
    <t>BT-13</t>
  </si>
  <si>
    <r>
      <rPr>
        <sz val="10"/>
        <rFont val="Malgun Gothic"/>
        <family val="3"/>
        <charset val="129"/>
      </rPr>
      <t xml:space="preserve">booking-pass </t>
    </r>
    <r>
      <rPr>
        <sz val="10"/>
        <rFont val="Noto Sans CJK SC"/>
        <family val="2"/>
      </rPr>
      <t>연결 정합성</t>
    </r>
  </si>
  <si>
    <t>SELECT COUNT(*) FROM booking b LEFT JOIN pass p ON b.pass_seq = p.pass_seq WHERE p.pass_seq IS NULL;</t>
  </si>
  <si>
    <r>
      <rPr>
        <sz val="10"/>
        <rFont val="Noto Sans CJK SC"/>
        <family val="2"/>
      </rPr>
      <t xml:space="preserve">결과 </t>
    </r>
    <r>
      <rPr>
        <sz val="10"/>
        <rFont val="Malgun Gothic"/>
        <family val="3"/>
        <charset val="129"/>
      </rPr>
      <t>0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 xml:space="preserve">모든 </t>
    </r>
    <r>
      <rPr>
        <sz val="10"/>
        <rFont val="Malgun Gothic"/>
        <family val="3"/>
        <charset val="129"/>
      </rPr>
      <t>booking</t>
    </r>
    <r>
      <rPr>
        <sz val="10"/>
        <rFont val="Noto Sans CJK SC"/>
        <family val="2"/>
      </rPr>
      <t xml:space="preserve">이 존재하는 </t>
    </r>
    <r>
      <rPr>
        <sz val="10"/>
        <rFont val="Malgun Gothic"/>
        <family val="3"/>
        <charset val="129"/>
      </rPr>
      <t>pass</t>
    </r>
    <r>
      <rPr>
        <sz val="10"/>
        <rFont val="Noto Sans CJK SC"/>
        <family val="2"/>
      </rPr>
      <t>에 연결</t>
    </r>
    <r>
      <rPr>
        <sz val="10"/>
        <rFont val="Malgun Gothic"/>
        <family val="3"/>
        <charset val="129"/>
      </rPr>
      <t>)</t>
    </r>
  </si>
  <si>
    <t>BT-14</t>
  </si>
  <si>
    <t>처리 대상 기간 경계</t>
  </si>
  <si>
    <t>경계값</t>
  </si>
  <si>
    <r>
      <rPr>
        <sz val="10"/>
        <rFont val="Malgun Gothic"/>
        <family val="3"/>
        <charset val="129"/>
      </rPr>
      <t xml:space="preserve">1. </t>
    </r>
    <r>
      <rPr>
        <sz val="10"/>
        <rFont val="Noto Sans CJK SC"/>
        <family val="2"/>
      </rPr>
      <t xml:space="preserve">시작 일시가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 xml:space="preserve">현재 −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일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직전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직후인 </t>
    </r>
    <r>
      <rPr>
        <sz val="10"/>
        <rFont val="Malgun Gothic"/>
        <family val="3"/>
        <charset val="129"/>
      </rPr>
      <t>bulk_pass</t>
    </r>
    <r>
      <rPr>
        <sz val="10"/>
        <rFont val="Noto Sans CJK SC"/>
        <family val="2"/>
      </rPr>
      <t xml:space="preserve">를 각각 </t>
    </r>
    <r>
      <rPr>
        <sz val="10"/>
        <rFont val="Malgun Gothic"/>
        <family val="3"/>
        <charset val="129"/>
      </rPr>
      <t>READY</t>
    </r>
    <r>
      <rPr>
        <sz val="10"/>
        <rFont val="Noto Sans CJK SC"/>
        <family val="2"/>
      </rPr>
      <t xml:space="preserve">로 등록
</t>
    </r>
    <r>
      <rPr>
        <sz val="10"/>
        <rFont val="Malgun Gothic"/>
        <family val="3"/>
        <charset val="129"/>
      </rPr>
      <t xml:space="preserve">2. addPassesJob </t>
    </r>
    <r>
      <rPr>
        <sz val="10"/>
        <rFont val="Noto Sans CJK SC"/>
        <family val="2"/>
      </rPr>
      <t xml:space="preserve">실행
</t>
    </r>
    <r>
      <rPr>
        <sz val="10"/>
        <rFont val="Malgun Gothic"/>
        <family val="3"/>
        <charset val="129"/>
      </rPr>
      <t xml:space="preserve">3. </t>
    </r>
    <r>
      <rPr>
        <sz val="10"/>
        <rFont val="Noto Sans CJK SC"/>
        <family val="2"/>
      </rPr>
      <t xml:space="preserve">각 행의 </t>
    </r>
    <r>
      <rPr>
        <sz val="10"/>
        <rFont val="Malgun Gothic"/>
        <family val="3"/>
        <charset val="129"/>
      </rPr>
      <t xml:space="preserve">status </t>
    </r>
    <r>
      <rPr>
        <sz val="10"/>
        <rFont val="Noto Sans CJK SC"/>
        <family val="2"/>
      </rPr>
      <t>확인</t>
    </r>
  </si>
  <si>
    <r>
      <rPr>
        <sz val="10"/>
        <rFont val="Malgun Gothic"/>
        <family val="3"/>
        <charset val="129"/>
      </rPr>
      <t xml:space="preserve">startedAt = </t>
    </r>
    <r>
      <rPr>
        <sz val="10"/>
        <rFont val="Noto Sans CJK SC"/>
        <family val="2"/>
      </rPr>
      <t xml:space="preserve">현재 −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 xml:space="preserve">일 −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 xml:space="preserve">분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 xml:space="preserve">현재 −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 xml:space="preserve">일 </t>
    </r>
    <r>
      <rPr>
        <sz val="10"/>
        <rFont val="Malgun Gothic"/>
        <family val="3"/>
        <charset val="129"/>
      </rPr>
      <t>+ 1</t>
    </r>
    <r>
      <rPr>
        <sz val="10"/>
        <rFont val="Noto Sans CJK SC"/>
        <family val="2"/>
      </rPr>
      <t>분</t>
    </r>
  </si>
  <si>
    <r>
      <rPr>
        <sz val="10"/>
        <rFont val="Noto Sans CJK SC"/>
        <family val="2"/>
      </rPr>
      <t xml:space="preserve">직후 행만 </t>
    </r>
    <r>
      <rPr>
        <sz val="10"/>
        <rFont val="Malgun Gothic"/>
        <family val="3"/>
        <charset val="129"/>
      </rPr>
      <t xml:space="preserve">COMPLETED, </t>
    </r>
    <r>
      <rPr>
        <sz val="10"/>
        <rFont val="Noto Sans CJK SC"/>
        <family val="2"/>
      </rPr>
      <t xml:space="preserve">직전 행은 </t>
    </r>
    <r>
      <rPr>
        <sz val="10"/>
        <rFont val="Malgun Gothic"/>
        <family val="3"/>
        <charset val="129"/>
      </rPr>
      <t xml:space="preserve">READY </t>
    </r>
    <r>
      <rPr>
        <sz val="10"/>
        <rFont val="Noto Sans CJK SC"/>
        <family val="2"/>
      </rPr>
      <t>유지</t>
    </r>
  </si>
  <si>
    <t>k6 + SQL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</si>
  <si>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 xml:space="preserve">3.1 (Job </t>
    </r>
    <r>
      <rPr>
        <sz val="10"/>
        <rFont val="Noto Sans CJK SC"/>
        <family val="2"/>
      </rPr>
      <t>처리 흐름</t>
    </r>
    <r>
      <rPr>
        <sz val="10"/>
        <rFont val="Malgun Gothic"/>
        <family val="3"/>
        <charset val="129"/>
      </rPr>
      <t>)</t>
    </r>
  </si>
  <si>
    <t>BT-15</t>
  </si>
  <si>
    <r>
      <rPr>
        <sz val="10"/>
        <rFont val="Noto Sans CJK SC"/>
        <family val="2"/>
      </rPr>
      <t xml:space="preserve">중단된 </t>
    </r>
    <r>
      <rPr>
        <sz val="10"/>
        <rFont val="Malgun Gothic"/>
        <family val="3"/>
        <charset val="129"/>
      </rPr>
      <t xml:space="preserve">Job </t>
    </r>
    <r>
      <rPr>
        <sz val="10"/>
        <rFont val="Noto Sans CJK SC"/>
        <family val="2"/>
      </rPr>
      <t>재실행</t>
    </r>
  </si>
  <si>
    <t>예외 처리</t>
  </si>
  <si>
    <t>Low</t>
  </si>
  <si>
    <r>
      <rPr>
        <sz val="10"/>
        <rFont val="Malgun Gothic"/>
        <family val="3"/>
        <charset val="129"/>
      </rPr>
      <t xml:space="preserve">addPassesJob </t>
    </r>
    <r>
      <rPr>
        <sz val="10"/>
        <rFont val="Noto Sans CJK SC"/>
        <family val="2"/>
      </rPr>
      <t>실행 도중 배치 서버 강제 종료</t>
    </r>
  </si>
  <si>
    <r>
      <rPr>
        <sz val="10"/>
        <rFont val="Malgun Gothic"/>
        <family val="3"/>
        <charset val="129"/>
      </rPr>
      <t xml:space="preserve">1. </t>
    </r>
    <r>
      <rPr>
        <sz val="10"/>
        <rFont val="Noto Sans CJK SC"/>
        <family val="2"/>
      </rPr>
      <t xml:space="preserve">배치 서버 재시작 후 </t>
    </r>
    <r>
      <rPr>
        <sz val="10"/>
        <rFont val="Malgun Gothic"/>
        <family val="3"/>
        <charset val="129"/>
      </rPr>
      <t xml:space="preserve">addPassesJob </t>
    </r>
    <r>
      <rPr>
        <sz val="10"/>
        <rFont val="Noto Sans CJK SC"/>
        <family val="2"/>
      </rPr>
      <t xml:space="preserve">재요청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 xml:space="preserve">오류 확인
</t>
    </r>
    <r>
      <rPr>
        <sz val="10"/>
        <rFont val="Malgun Gothic"/>
        <family val="3"/>
        <charset val="129"/>
      </rPr>
      <t>3. batch_job_execution, batch_step_execution</t>
    </r>
    <r>
      <rPr>
        <sz val="10"/>
        <rFont val="Noto Sans CJK SC"/>
        <family val="2"/>
      </rPr>
      <t xml:space="preserve">의 미종료 기록을 </t>
    </r>
    <r>
      <rPr>
        <sz val="10"/>
        <rFont val="Malgun Gothic"/>
        <family val="3"/>
        <charset val="129"/>
      </rPr>
      <t>FAILED</t>
    </r>
    <r>
      <rPr>
        <sz val="10"/>
        <rFont val="Noto Sans CJK SC"/>
        <family val="2"/>
      </rPr>
      <t xml:space="preserve">로 정리
</t>
    </r>
    <r>
      <rPr>
        <sz val="10"/>
        <rFont val="Malgun Gothic"/>
        <family val="3"/>
        <charset val="129"/>
      </rPr>
      <t xml:space="preserve">4. </t>
    </r>
    <r>
      <rPr>
        <sz val="10"/>
        <rFont val="Noto Sans CJK SC"/>
        <family val="2"/>
      </rPr>
      <t>다시 요청</t>
    </r>
  </si>
  <si>
    <r>
      <rPr>
        <sz val="10"/>
        <rFont val="Malgun Gothic"/>
        <family val="3"/>
        <charset val="129"/>
      </rPr>
      <t>2</t>
    </r>
    <r>
      <rPr>
        <sz val="10"/>
        <rFont val="Noto Sans CJK SC"/>
        <family val="2"/>
      </rPr>
      <t>단계에서 중복 실행이 거부되고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기록 정리 후 정상 실행</t>
    </r>
  </si>
  <si>
    <r>
      <rPr>
        <sz val="10"/>
        <rFont val="Malgun Gothic"/>
        <family val="3"/>
        <charset val="129"/>
      </rPr>
      <t xml:space="preserve">JobExecutionAlreadyRunningException </t>
    </r>
    <r>
      <rPr>
        <sz val="10"/>
        <rFont val="Noto Sans CJK SC"/>
        <family val="2"/>
      </rPr>
      <t>발생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기록 정리 후 </t>
    </r>
    <r>
      <rPr>
        <sz val="10"/>
        <rFont val="Malgun Gothic"/>
        <family val="3"/>
        <charset val="129"/>
      </rPr>
      <t>COMPLETED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</si>
  <si>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3.7</t>
    </r>
  </si>
  <si>
    <r>
      <rPr>
        <sz val="10"/>
        <rFont val="Malgun Gothic"/>
        <family val="3"/>
        <charset val="129"/>
      </rPr>
      <t>Spring Batch</t>
    </r>
    <r>
      <rPr>
        <sz val="10"/>
        <rFont val="Noto Sans CJK SC"/>
        <family val="2"/>
      </rPr>
      <t>의 중복 실행 방지 동작</t>
    </r>
    <r>
      <rPr>
        <sz val="10"/>
        <rFont val="Malgun Gothic"/>
        <family val="3"/>
        <charset val="129"/>
      </rPr>
      <t xml:space="preserve">. </t>
    </r>
    <r>
      <rPr>
        <sz val="10"/>
        <rFont val="Noto Sans CJK SC"/>
        <family val="2"/>
      </rPr>
      <t>자동 복구 절차는 없음</t>
    </r>
  </si>
  <si>
    <t>L-01</t>
  </si>
  <si>
    <t>정상 로그인</t>
  </si>
  <si>
    <t>기능</t>
  </si>
  <si>
    <r>
      <rPr>
        <sz val="10"/>
        <rFont val="Malgun Gothic"/>
        <family val="3"/>
        <charset val="129"/>
      </rPr>
      <t xml:space="preserve">1. /login </t>
    </r>
    <r>
      <rPr>
        <sz val="10"/>
        <rFont val="Noto Sans CJK SC"/>
        <family val="2"/>
      </rPr>
      <t xml:space="preserve">접속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>아이디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비밀번호 입력 후 </t>
    </r>
    <r>
      <rPr>
        <sz val="10"/>
        <rFont val="Malgun Gothic"/>
        <family val="3"/>
        <charset val="129"/>
      </rPr>
      <t>submit</t>
    </r>
  </si>
  <si>
    <r>
      <rPr>
        <sz val="10"/>
        <rFont val="Noto Sans CJK SC"/>
        <family val="2"/>
      </rPr>
      <t>올바른 아이디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비밀번호</t>
    </r>
  </si>
  <si>
    <r>
      <rPr>
        <sz val="10"/>
        <rFont val="Malgun Gothic"/>
        <family val="3"/>
        <charset val="129"/>
      </rPr>
      <t>URL</t>
    </r>
    <r>
      <rPr>
        <sz val="10"/>
        <rFont val="Noto Sans CJK SC"/>
        <family val="2"/>
      </rPr>
      <t xml:space="preserve">이 </t>
    </r>
    <r>
      <rPr>
        <sz val="10"/>
        <rFont val="Malgun Gothic"/>
        <family val="3"/>
        <charset val="129"/>
      </rPr>
      <t>/passes</t>
    </r>
    <r>
      <rPr>
        <sz val="10"/>
        <rFont val="Noto Sans CJK SC"/>
        <family val="2"/>
      </rPr>
      <t>로 변경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세션 쿠키 존재</t>
    </r>
  </si>
  <si>
    <r>
      <rPr>
        <sz val="10"/>
        <rFont val="Malgun Gothic"/>
        <family val="3"/>
        <charset val="129"/>
      </rPr>
      <t>/passes</t>
    </r>
    <r>
      <rPr>
        <sz val="10"/>
        <rFont val="Noto Sans CJK SC"/>
        <family val="2"/>
      </rPr>
      <t>로 이동 확인</t>
    </r>
  </si>
  <si>
    <t>Selenium (try_login_1.py)</t>
  </si>
  <si>
    <t>TestCase.xlsx</t>
  </si>
  <si>
    <t>세션 쿠키 존재 여부는 미검증</t>
  </si>
  <si>
    <t>L-02</t>
  </si>
  <si>
    <r>
      <rPr>
        <sz val="10"/>
        <rFont val="Noto Sans CJK SC"/>
        <family val="2"/>
      </rPr>
      <t xml:space="preserve">존재하지 않는 </t>
    </r>
    <r>
      <rPr>
        <sz val="10"/>
        <rFont val="Malgun Gothic"/>
        <family val="3"/>
        <charset val="129"/>
      </rPr>
      <t>ID</t>
    </r>
  </si>
  <si>
    <t>네거티브</t>
  </si>
  <si>
    <r>
      <rPr>
        <sz val="10"/>
        <rFont val="Malgun Gothic"/>
        <family val="3"/>
        <charset val="129"/>
      </rPr>
      <t xml:space="preserve">1. /login </t>
    </r>
    <r>
      <rPr>
        <sz val="10"/>
        <rFont val="Noto Sans CJK SC"/>
        <family val="2"/>
      </rPr>
      <t xml:space="preserve">접속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 xml:space="preserve">없는 아이디 입력 후 </t>
    </r>
    <r>
      <rPr>
        <sz val="10"/>
        <rFont val="Malgun Gothic"/>
        <family val="3"/>
        <charset val="129"/>
      </rPr>
      <t>submit</t>
    </r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</si>
  <si>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3"/>
        <charset val="129"/>
      </rPr>
      <t>wrong5798</t>
    </r>
  </si>
  <si>
    <r>
      <rPr>
        <sz val="10"/>
        <rFont val="Malgun Gothic"/>
        <family val="3"/>
        <charset val="129"/>
      </rPr>
      <t>alert "</t>
    </r>
    <r>
      <rPr>
        <sz val="10"/>
        <rFont val="Noto Sans CJK SC"/>
        <family val="2"/>
      </rPr>
      <t xml:space="preserve">존재하지 않는 </t>
    </r>
    <r>
      <rPr>
        <sz val="10"/>
        <rFont val="Malgun Gothic"/>
        <family val="3"/>
        <charset val="129"/>
      </rPr>
      <t>ID</t>
    </r>
    <r>
      <rPr>
        <sz val="10"/>
        <rFont val="Noto Sans CJK SC"/>
        <family val="2"/>
      </rPr>
      <t>입니다</t>
    </r>
    <r>
      <rPr>
        <sz val="10"/>
        <rFont val="Malgun Gothic"/>
        <family val="3"/>
        <charset val="129"/>
      </rPr>
      <t xml:space="preserve">.", /login </t>
    </r>
    <r>
      <rPr>
        <sz val="10"/>
        <rFont val="Noto Sans CJK SC"/>
        <family val="2"/>
      </rPr>
      <t>유지</t>
    </r>
  </si>
  <si>
    <t>기대 문구와 일치</t>
  </si>
  <si>
    <t>Selenium (test_unknown_id_alert)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</si>
  <si>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5.3</t>
    </r>
  </si>
  <si>
    <t>L-03</t>
  </si>
  <si>
    <t>틀린 비밀번호</t>
  </si>
  <si>
    <r>
      <rPr>
        <sz val="10"/>
        <rFont val="Malgun Gothic"/>
        <family val="3"/>
        <charset val="129"/>
      </rPr>
      <t xml:space="preserve">1. /login </t>
    </r>
    <r>
      <rPr>
        <sz val="10"/>
        <rFont val="Noto Sans CJK SC"/>
        <family val="2"/>
      </rPr>
      <t xml:space="preserve">접속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>올바른 아이디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틀린 비밀번호 입력 후 </t>
    </r>
    <r>
      <rPr>
        <sz val="10"/>
        <rFont val="Malgun Gothic"/>
        <family val="3"/>
        <charset val="129"/>
      </rPr>
      <t>submit</t>
    </r>
  </si>
  <si>
    <r>
      <rPr>
        <sz val="10"/>
        <rFont val="Noto Sans CJK SC"/>
        <family val="2"/>
      </rPr>
      <t xml:space="preserve">비밀번호 </t>
    </r>
    <r>
      <rPr>
        <sz val="10"/>
        <rFont val="Malgun Gothic"/>
        <family val="3"/>
        <charset val="129"/>
      </rPr>
      <t>wrong1234!</t>
    </r>
  </si>
  <si>
    <r>
      <rPr>
        <sz val="10"/>
        <rFont val="Malgun Gothic"/>
        <family val="3"/>
        <charset val="129"/>
      </rPr>
      <t>alert "</t>
    </r>
    <r>
      <rPr>
        <sz val="10"/>
        <rFont val="Noto Sans CJK SC"/>
        <family val="2"/>
      </rPr>
      <t>비밀번호가 일치하지 않습니다</t>
    </r>
    <r>
      <rPr>
        <sz val="10"/>
        <rFont val="Malgun Gothic"/>
        <family val="3"/>
        <charset val="129"/>
      </rPr>
      <t>."</t>
    </r>
  </si>
  <si>
    <t>Selenium (test_wrong_password_alert)</t>
  </si>
  <si>
    <t>L-04</t>
  </si>
  <si>
    <r>
      <rPr>
        <sz val="10"/>
        <rFont val="Noto Sans CJK SC"/>
        <family val="2"/>
      </rPr>
      <t>아이디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비밀번호 모두 빈 값</t>
    </r>
  </si>
  <si>
    <r>
      <rPr>
        <sz val="10"/>
        <rFont val="Malgun Gothic"/>
        <family val="3"/>
        <charset val="129"/>
      </rPr>
      <t xml:space="preserve">1. /login </t>
    </r>
    <r>
      <rPr>
        <sz val="10"/>
        <rFont val="Noto Sans CJK SC"/>
        <family val="2"/>
      </rPr>
      <t xml:space="preserve">접속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>입력 후 제출</t>
    </r>
  </si>
  <si>
    <r>
      <rPr>
        <sz val="10"/>
        <rFont val="Noto Sans CJK SC"/>
        <family val="2"/>
      </rPr>
      <t xml:space="preserve">빈 값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빈 값</t>
    </r>
  </si>
  <si>
    <r>
      <rPr>
        <sz val="10"/>
        <rFont val="Malgun Gothic"/>
        <family val="3"/>
        <charset val="129"/>
      </rPr>
      <t>"</t>
    </r>
    <r>
      <rPr>
        <sz val="10"/>
        <rFont val="Noto Sans CJK SC"/>
        <family val="2"/>
      </rPr>
      <t xml:space="preserve">존재하지 않는 </t>
    </r>
    <r>
      <rPr>
        <sz val="10"/>
        <rFont val="Malgun Gothic"/>
        <family val="3"/>
        <charset val="129"/>
      </rPr>
      <t>ID</t>
    </r>
    <r>
      <rPr>
        <sz val="10"/>
        <rFont val="Noto Sans CJK SC"/>
        <family val="2"/>
      </rPr>
      <t>입니다</t>
    </r>
    <r>
      <rPr>
        <sz val="10"/>
        <rFont val="Malgun Gothic"/>
        <family val="3"/>
        <charset val="129"/>
      </rPr>
      <t>."</t>
    </r>
    <r>
      <rPr>
        <sz val="10"/>
        <rFont val="Noto Sans CJK SC"/>
        <family val="2"/>
      </rPr>
      <t xml:space="preserve">로 예상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실행해서 확인</t>
    </r>
    <r>
      <rPr>
        <sz val="10"/>
        <rFont val="Malgun Gothic"/>
        <family val="3"/>
        <charset val="129"/>
      </rPr>
      <t>)</t>
    </r>
  </si>
  <si>
    <t>L-05</t>
  </si>
  <si>
    <r>
      <rPr>
        <sz val="10"/>
        <rFont val="Noto Sans CJK SC"/>
        <family val="2"/>
      </rPr>
      <t>아이디만 입력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비밀번호 빈 값</t>
    </r>
  </si>
  <si>
    <r>
      <rPr>
        <sz val="10"/>
        <rFont val="Noto Sans CJK SC"/>
        <family val="2"/>
      </rPr>
      <t xml:space="preserve">올바른 아이디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빈 값</t>
    </r>
  </si>
  <si>
    <r>
      <rPr>
        <sz val="10"/>
        <rFont val="Malgun Gothic"/>
        <family val="3"/>
        <charset val="129"/>
      </rPr>
      <t>"</t>
    </r>
    <r>
      <rPr>
        <sz val="10"/>
        <rFont val="Noto Sans CJK SC"/>
        <family val="2"/>
      </rPr>
      <t>비밀번호가 일치하지 않습니다</t>
    </r>
    <r>
      <rPr>
        <sz val="10"/>
        <rFont val="Malgun Gothic"/>
        <family val="3"/>
        <charset val="129"/>
      </rPr>
      <t>."</t>
    </r>
    <r>
      <rPr>
        <sz val="10"/>
        <rFont val="Noto Sans CJK SC"/>
        <family val="2"/>
      </rPr>
      <t>로 예상</t>
    </r>
  </si>
  <si>
    <t>L-06</t>
  </si>
  <si>
    <r>
      <rPr>
        <sz val="10"/>
        <rFont val="Noto Sans CJK SC"/>
        <family val="2"/>
      </rPr>
      <t xml:space="preserve">비밀번호 입력 후 </t>
    </r>
    <r>
      <rPr>
        <sz val="10"/>
        <rFont val="Malgun Gothic"/>
        <family val="3"/>
        <charset val="129"/>
      </rPr>
      <t>Enter</t>
    </r>
    <r>
      <rPr>
        <sz val="10"/>
        <rFont val="Noto Sans CJK SC"/>
        <family val="2"/>
      </rPr>
      <t>로 제출</t>
    </r>
  </si>
  <si>
    <t>L-07</t>
  </si>
  <si>
    <r>
      <rPr>
        <sz val="10"/>
        <rFont val="Noto Sans CJK SC"/>
        <family val="2"/>
      </rPr>
      <t xml:space="preserve">로그아웃 후 </t>
    </r>
    <r>
      <rPr>
        <sz val="10"/>
        <rFont val="Malgun Gothic"/>
        <family val="3"/>
        <charset val="129"/>
      </rPr>
      <t>/login</t>
    </r>
    <r>
      <rPr>
        <sz val="10"/>
        <rFont val="Noto Sans CJK SC"/>
        <family val="2"/>
      </rPr>
      <t>으로 복귀</t>
    </r>
  </si>
  <si>
    <r>
      <rPr>
        <sz val="10"/>
        <rFont val="Noto Sans CJK SC"/>
        <family val="2"/>
      </rPr>
      <t xml:space="preserve">로그인 상태에서 </t>
    </r>
    <r>
      <rPr>
        <sz val="10"/>
        <rFont val="Malgun Gothic"/>
        <family val="3"/>
        <charset val="129"/>
      </rPr>
      <t>/login/logout</t>
    </r>
  </si>
  <si>
    <r>
      <rPr>
        <sz val="10"/>
        <rFont val="Malgun Gothic"/>
        <family val="3"/>
        <charset val="129"/>
      </rPr>
      <t>URL</t>
    </r>
    <r>
      <rPr>
        <sz val="10"/>
        <rFont val="Noto Sans CJK SC"/>
        <family val="2"/>
      </rPr>
      <t xml:space="preserve">이 </t>
    </r>
    <r>
      <rPr>
        <sz val="10"/>
        <rFont val="Malgun Gothic"/>
        <family val="3"/>
        <charset val="129"/>
      </rPr>
      <t xml:space="preserve">/login, </t>
    </r>
    <r>
      <rPr>
        <sz val="10"/>
        <rFont val="Noto Sans CJK SC"/>
        <family val="2"/>
      </rPr>
      <t>세션 만료</t>
    </r>
  </si>
  <si>
    <t>L-08</t>
  </si>
  <si>
    <r>
      <rPr>
        <sz val="10"/>
        <rFont val="Noto Sans CJK SC"/>
        <family val="2"/>
      </rPr>
      <t xml:space="preserve">아이디에 </t>
    </r>
    <r>
      <rPr>
        <sz val="10"/>
        <rFont val="Malgun Gothic"/>
        <family val="3"/>
        <charset val="129"/>
      </rPr>
      <t xml:space="preserve">SQL </t>
    </r>
    <r>
      <rPr>
        <sz val="10"/>
        <rFont val="Noto Sans CJK SC"/>
        <family val="2"/>
      </rPr>
      <t>구문 입력</t>
    </r>
  </si>
  <si>
    <t>' OR '1'='1</t>
  </si>
  <si>
    <r>
      <rPr>
        <sz val="10"/>
        <rFont val="Noto Sans CJK SC"/>
        <family val="2"/>
      </rPr>
      <t xml:space="preserve">로그인 실패 </t>
    </r>
    <r>
      <rPr>
        <sz val="10"/>
        <rFont val="Malgun Gothic"/>
        <family val="3"/>
        <charset val="129"/>
      </rPr>
      <t xml:space="preserve">(JPA </t>
    </r>
    <r>
      <rPr>
        <sz val="10"/>
        <rFont val="Noto Sans CJK SC"/>
        <family val="2"/>
      </rPr>
      <t>파라미터 바인딩으로 우회 안 됨</t>
    </r>
    <r>
      <rPr>
        <sz val="10"/>
        <rFont val="Malgun Gothic"/>
        <family val="3"/>
        <charset val="129"/>
      </rPr>
      <t>)</t>
    </r>
  </si>
  <si>
    <t>L-09</t>
  </si>
  <si>
    <r>
      <rPr>
        <sz val="10"/>
        <rFont val="Noto Sans CJK SC"/>
        <family val="2"/>
      </rPr>
      <t xml:space="preserve">대소문자만 다른 </t>
    </r>
    <r>
      <rPr>
        <sz val="10"/>
        <rFont val="Malgun Gothic"/>
        <family val="3"/>
        <charset val="129"/>
      </rPr>
      <t>ID</t>
    </r>
    <r>
      <rPr>
        <sz val="10"/>
        <rFont val="Noto Sans CJK SC"/>
        <family val="2"/>
      </rPr>
      <t>로 로그인</t>
    </r>
  </si>
  <si>
    <t>탐색적</t>
  </si>
  <si>
    <r>
      <rPr>
        <sz val="10"/>
        <rFont val="Noto Sans CJK SC"/>
        <family val="2"/>
      </rPr>
      <t xml:space="preserve">가입 </t>
    </r>
    <r>
      <rPr>
        <sz val="10"/>
        <rFont val="Malgun Gothic"/>
        <family val="3"/>
        <charset val="129"/>
      </rPr>
      <t>ID</t>
    </r>
    <r>
      <rPr>
        <sz val="10"/>
        <rFont val="Noto Sans CJK SC"/>
        <family val="2"/>
      </rPr>
      <t>의 대소문자 변경</t>
    </r>
  </si>
  <si>
    <t>L-10</t>
  </si>
  <si>
    <t>로그인 전후 세션 변경</t>
  </si>
  <si>
    <r>
      <rPr>
        <sz val="10"/>
        <rFont val="Malgun Gothic"/>
        <family val="3"/>
        <charset val="129"/>
      </rPr>
      <t xml:space="preserve">1. </t>
    </r>
    <r>
      <rPr>
        <sz val="10"/>
        <rFont val="Noto Sans CJK SC"/>
        <family val="2"/>
      </rPr>
      <t xml:space="preserve">로그인 전 </t>
    </r>
    <r>
      <rPr>
        <sz val="10"/>
        <rFont val="Malgun Gothic"/>
        <family val="3"/>
        <charset val="129"/>
      </rPr>
      <t xml:space="preserve">JSESSIONID </t>
    </r>
    <r>
      <rPr>
        <sz val="10"/>
        <rFont val="Noto Sans CJK SC"/>
        <family val="2"/>
      </rPr>
      <t xml:space="preserve">확인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 xml:space="preserve">로그인
</t>
    </r>
    <r>
      <rPr>
        <sz val="10"/>
        <rFont val="Malgun Gothic"/>
        <family val="3"/>
        <charset val="129"/>
      </rPr>
      <t xml:space="preserve">3. JSESSIONID </t>
    </r>
    <r>
      <rPr>
        <sz val="10"/>
        <rFont val="Noto Sans CJK SC"/>
        <family val="2"/>
      </rPr>
      <t>다시 확인</t>
    </r>
  </si>
  <si>
    <r>
      <rPr>
        <sz val="10"/>
        <rFont val="Noto Sans CJK SC"/>
        <family val="2"/>
      </rPr>
      <t xml:space="preserve">로그인 후 새 세션 </t>
    </r>
    <r>
      <rPr>
        <sz val="10"/>
        <rFont val="Malgun Gothic"/>
        <family val="3"/>
        <charset val="129"/>
      </rPr>
      <t xml:space="preserve">ID </t>
    </r>
    <r>
      <rPr>
        <sz val="10"/>
        <rFont val="Noto Sans CJK SC"/>
        <family val="2"/>
      </rPr>
      <t>발급</t>
    </r>
  </si>
  <si>
    <t>값이 바뀜</t>
  </si>
  <si>
    <r>
      <rPr>
        <sz val="10"/>
        <rFont val="Noto Sans CJK SC"/>
        <family val="2"/>
      </rPr>
      <t xml:space="preserve">수동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개발자 도구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</si>
  <si>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4.4</t>
    </r>
  </si>
  <si>
    <t>L-11</t>
  </si>
  <si>
    <t>첫 로그인 시 기본 그룹 부여</t>
  </si>
  <si>
    <t>그룹 매핑이 없는 계정</t>
  </si>
  <si>
    <r>
      <rPr>
        <sz val="10"/>
        <rFont val="Malgun Gothic"/>
        <family val="3"/>
        <charset val="129"/>
      </rPr>
      <t xml:space="preserve">1. </t>
    </r>
    <r>
      <rPr>
        <sz val="10"/>
        <rFont val="Noto Sans CJK SC"/>
        <family val="2"/>
      </rPr>
      <t xml:space="preserve">로그인 전 </t>
    </r>
    <r>
      <rPr>
        <sz val="10"/>
        <rFont val="Malgun Gothic"/>
        <family val="3"/>
        <charset val="129"/>
      </rPr>
      <t xml:space="preserve">user_group_mapping </t>
    </r>
    <r>
      <rPr>
        <sz val="10"/>
        <rFont val="Noto Sans CJK SC"/>
        <family val="2"/>
      </rPr>
      <t xml:space="preserve">행 수 조회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 xml:space="preserve">로그인
</t>
    </r>
    <r>
      <rPr>
        <sz val="10"/>
        <rFont val="Malgun Gothic"/>
        <family val="3"/>
        <charset val="129"/>
      </rPr>
      <t xml:space="preserve">3. </t>
    </r>
    <r>
      <rPr>
        <sz val="10"/>
        <rFont val="Noto Sans CJK SC"/>
        <family val="2"/>
      </rPr>
      <t>다시 조회</t>
    </r>
  </si>
  <si>
    <r>
      <rPr>
        <sz val="10"/>
        <rFont val="Malgun Gothic"/>
        <family val="3"/>
        <charset val="129"/>
      </rPr>
      <t>0</t>
    </r>
    <r>
      <rPr>
        <sz val="10"/>
        <rFont val="Noto Sans CJK SC"/>
        <family val="2"/>
      </rPr>
      <t xml:space="preserve">행 →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행</t>
    </r>
  </si>
  <si>
    <r>
      <rPr>
        <sz val="10"/>
        <rFont val="Noto Sans CJK SC"/>
        <family val="2"/>
      </rPr>
      <t xml:space="preserve">수동 </t>
    </r>
    <r>
      <rPr>
        <sz val="10"/>
        <rFont val="Malgun Gothic"/>
        <family val="3"/>
        <charset val="129"/>
      </rPr>
      <t>+ SQL</t>
    </r>
  </si>
  <si>
    <t>L-12</t>
  </si>
  <si>
    <t>재로그인 시 그룹 매핑 중복</t>
  </si>
  <si>
    <r>
      <rPr>
        <sz val="10"/>
        <rFont val="Malgun Gothic"/>
        <family val="3"/>
        <charset val="129"/>
      </rPr>
      <t xml:space="preserve">L-11 </t>
    </r>
    <r>
      <rPr>
        <sz val="10"/>
        <rFont val="Noto Sans CJK SC"/>
        <family val="2"/>
      </rPr>
      <t>수행 후</t>
    </r>
  </si>
  <si>
    <r>
      <rPr>
        <sz val="10"/>
        <rFont val="Malgun Gothic"/>
        <family val="3"/>
        <charset val="129"/>
      </rPr>
      <t xml:space="preserve">1. </t>
    </r>
    <r>
      <rPr>
        <sz val="10"/>
        <rFont val="Noto Sans CJK SC"/>
        <family val="2"/>
      </rPr>
      <t xml:space="preserve">로그아웃 후 다시 로그인
</t>
    </r>
    <r>
      <rPr>
        <sz val="10"/>
        <rFont val="Malgun Gothic"/>
        <family val="3"/>
        <charset val="129"/>
      </rPr>
      <t xml:space="preserve">2. user_group_mapping </t>
    </r>
    <r>
      <rPr>
        <sz val="10"/>
        <rFont val="Noto Sans CJK SC"/>
        <family val="2"/>
      </rPr>
      <t>행 수 조회</t>
    </r>
  </si>
  <si>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 xml:space="preserve">행 유지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중복 저장 없음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</si>
  <si>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행 유지</t>
    </r>
  </si>
  <si>
    <t>LA-01</t>
  </si>
  <si>
    <t>POST /login/action (JSON)</t>
  </si>
  <si>
    <r>
      <rPr>
        <sz val="10"/>
        <rFont val="Malgun Gothic"/>
        <family val="3"/>
        <charset val="129"/>
      </rPr>
      <t xml:space="preserve">{"userId": </t>
    </r>
    <r>
      <rPr>
        <sz val="10"/>
        <rFont val="Noto Sans CJK SC"/>
        <family val="2"/>
      </rPr>
      <t>정상</t>
    </r>
    <r>
      <rPr>
        <sz val="10"/>
        <rFont val="Malgun Gothic"/>
        <family val="3"/>
        <charset val="129"/>
      </rPr>
      <t xml:space="preserve">, "password": </t>
    </r>
    <r>
      <rPr>
        <sz val="10"/>
        <rFont val="Noto Sans CJK SC"/>
        <family val="2"/>
      </rPr>
      <t>정상</t>
    </r>
    <r>
      <rPr>
        <sz val="10"/>
        <rFont val="Malgun Gothic"/>
        <family val="3"/>
        <charset val="129"/>
      </rPr>
      <t>}</t>
    </r>
  </si>
  <si>
    <r>
      <rPr>
        <sz val="10"/>
        <rFont val="Malgun Gothic"/>
        <family val="3"/>
        <charset val="129"/>
      </rPr>
      <t xml:space="preserve">200, </t>
    </r>
    <r>
      <rPr>
        <sz val="10"/>
        <rFont val="Noto Sans CJK SC"/>
        <family val="2"/>
      </rPr>
      <t xml:space="preserve">본문 </t>
    </r>
    <r>
      <rPr>
        <sz val="10"/>
        <rFont val="Malgun Gothic"/>
        <family val="3"/>
        <charset val="129"/>
      </rPr>
      <t>{}</t>
    </r>
  </si>
  <si>
    <t>200, {}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</si>
  <si>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5.4</t>
    </r>
  </si>
  <si>
    <t>LA-02</t>
  </si>
  <si>
    <t>응답 본문 비밀번호 노출</t>
  </si>
  <si>
    <r>
      <rPr>
        <sz val="10"/>
        <rFont val="Noto Sans CJK SC"/>
        <family val="2"/>
      </rPr>
      <t>보안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회귀</t>
    </r>
  </si>
  <si>
    <r>
      <rPr>
        <sz val="10"/>
        <rFont val="Malgun Gothic"/>
        <family val="3"/>
        <charset val="129"/>
      </rPr>
      <t xml:space="preserve">POST /login/action </t>
    </r>
    <r>
      <rPr>
        <sz val="10"/>
        <rFont val="Noto Sans CJK SC"/>
        <family val="2"/>
      </rPr>
      <t>후 응답 본문에 비밀번호 원문이 있는지 확인</t>
    </r>
  </si>
  <si>
    <t>정상 계정</t>
  </si>
  <si>
    <t>응답 본문에 비밀번호 원문 없음</t>
  </si>
  <si>
    <r>
      <rPr>
        <sz val="10"/>
        <rFont val="Noto Sans CJK SC"/>
        <family val="2"/>
      </rPr>
      <t xml:space="preserve">본문 </t>
    </r>
    <r>
      <rPr>
        <sz val="10"/>
        <rFont val="Malgun Gothic"/>
        <family val="3"/>
        <charset val="129"/>
      </rPr>
      <t xml:space="preserve">{}, </t>
    </r>
    <r>
      <rPr>
        <sz val="10"/>
        <rFont val="Noto Sans CJK SC"/>
        <family val="2"/>
      </rPr>
      <t>원문 없음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</si>
  <si>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4.1, 5.4</t>
    </r>
  </si>
  <si>
    <r>
      <rPr>
        <sz val="10"/>
        <rFont val="Noto Sans CJK SC"/>
        <family val="2"/>
      </rPr>
      <t xml:space="preserve">수정 전에는 </t>
    </r>
    <r>
      <rPr>
        <sz val="10"/>
        <rFont val="Malgun Gothic"/>
        <family val="3"/>
        <charset val="129"/>
      </rPr>
      <t xml:space="preserve">{"password":..., "userId":...} </t>
    </r>
    <r>
      <rPr>
        <sz val="10"/>
        <rFont val="Noto Sans CJK SC"/>
        <family val="2"/>
      </rPr>
      <t>반환</t>
    </r>
  </si>
  <si>
    <t>LA-03</t>
  </si>
  <si>
    <t>POST /login/action</t>
  </si>
  <si>
    <r>
      <rPr>
        <sz val="10"/>
        <rFont val="Noto Sans CJK SC"/>
        <family val="2"/>
      </rPr>
      <t>정상 아이디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틀린 비밀번호</t>
    </r>
  </si>
  <si>
    <r>
      <rPr>
        <sz val="10"/>
        <rFont val="Malgun Gothic"/>
        <family val="3"/>
        <charset val="129"/>
      </rPr>
      <t>400, {"msg":"</t>
    </r>
    <r>
      <rPr>
        <sz val="10"/>
        <rFont val="Noto Sans CJK SC"/>
        <family val="2"/>
      </rPr>
      <t>비밀번호가 일치하지 않습니다</t>
    </r>
    <r>
      <rPr>
        <sz val="10"/>
        <rFont val="Malgun Gothic"/>
        <family val="3"/>
        <charset val="129"/>
      </rPr>
      <t>."}</t>
    </r>
  </si>
  <si>
    <t>기대값과 일치</t>
  </si>
  <si>
    <t>LA-04</t>
  </si>
  <si>
    <t>없는 아이디</t>
  </si>
  <si>
    <r>
      <rPr>
        <sz val="10"/>
        <rFont val="Malgun Gothic"/>
        <family val="3"/>
        <charset val="129"/>
      </rPr>
      <t>400, {"msg":"</t>
    </r>
    <r>
      <rPr>
        <sz val="10"/>
        <rFont val="Noto Sans CJK SC"/>
        <family val="2"/>
      </rPr>
      <t xml:space="preserve">존재하지 않는 </t>
    </r>
    <r>
      <rPr>
        <sz val="10"/>
        <rFont val="Malgun Gothic"/>
        <family val="3"/>
        <charset val="129"/>
      </rPr>
      <t>ID</t>
    </r>
    <r>
      <rPr>
        <sz val="10"/>
        <rFont val="Noto Sans CJK SC"/>
        <family val="2"/>
      </rPr>
      <t>입니다</t>
    </r>
    <r>
      <rPr>
        <sz val="10"/>
        <rFont val="Malgun Gothic"/>
        <family val="3"/>
        <charset val="129"/>
      </rPr>
      <t>."}</t>
    </r>
  </si>
  <si>
    <r>
      <rPr>
        <sz val="10"/>
        <rFont val="Noto Sans CJK SC"/>
        <family val="2"/>
      </rPr>
      <t>화면</t>
    </r>
    <r>
      <rPr>
        <sz val="10"/>
        <rFont val="Malgun Gothic"/>
        <family val="3"/>
        <charset val="129"/>
      </rPr>
      <t>(L-02)</t>
    </r>
    <r>
      <rPr>
        <sz val="10"/>
        <rFont val="Noto Sans CJK SC"/>
        <family val="2"/>
      </rPr>
      <t>에서는 확인됨</t>
    </r>
  </si>
  <si>
    <t>SC-01</t>
  </si>
  <si>
    <t>비밀번호 저장 형식</t>
  </si>
  <si>
    <t>SELECT password FROM user WHERE user_id = ?</t>
  </si>
  <si>
    <t>테스트 계정</t>
  </si>
  <si>
    <r>
      <rPr>
        <sz val="10"/>
        <rFont val="Malgun Gothic"/>
        <family val="3"/>
        <charset val="129"/>
      </rPr>
      <t xml:space="preserve">BCrypt </t>
    </r>
    <r>
      <rPr>
        <sz val="10"/>
        <rFont val="Noto Sans CJK SC"/>
        <family val="2"/>
      </rPr>
      <t xml:space="preserve">해시 </t>
    </r>
    <r>
      <rPr>
        <sz val="10"/>
        <rFont val="Malgun Gothic"/>
        <family val="3"/>
        <charset val="129"/>
      </rPr>
      <t>($2a$10$</t>
    </r>
    <r>
      <rPr>
        <sz val="10"/>
        <rFont val="Noto Sans CJK SC"/>
        <family val="2"/>
      </rPr>
      <t>로 시작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길이 </t>
    </r>
    <r>
      <rPr>
        <sz val="10"/>
        <rFont val="Malgun Gothic"/>
        <family val="3"/>
        <charset val="129"/>
      </rPr>
      <t>60)</t>
    </r>
  </si>
  <si>
    <r>
      <rPr>
        <sz val="10"/>
        <rFont val="Malgun Gothic"/>
        <family val="3"/>
        <charset val="129"/>
      </rPr>
      <t xml:space="preserve">$2a$10$, </t>
    </r>
    <r>
      <rPr>
        <sz val="10"/>
        <rFont val="Noto Sans CJK SC"/>
        <family val="2"/>
      </rPr>
      <t xml:space="preserve">길이 </t>
    </r>
    <r>
      <rPr>
        <sz val="10"/>
        <rFont val="Malgun Gothic"/>
        <family val="3"/>
        <charset val="129"/>
      </rPr>
      <t>60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</si>
  <si>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4.4, 5.3</t>
    </r>
  </si>
  <si>
    <t>SC-02</t>
  </si>
  <si>
    <r>
      <rPr>
        <sz val="10"/>
        <rFont val="Noto Sans CJK SC"/>
        <family val="2"/>
      </rPr>
      <t xml:space="preserve">로그인 </t>
    </r>
    <r>
      <rPr>
        <sz val="10"/>
        <rFont val="Malgun Gothic"/>
        <family val="3"/>
        <charset val="129"/>
      </rPr>
      <t xml:space="preserve">Console </t>
    </r>
    <r>
      <rPr>
        <sz val="10"/>
        <rFont val="Noto Sans CJK SC"/>
        <family val="2"/>
      </rPr>
      <t>로그</t>
    </r>
  </si>
  <si>
    <r>
      <rPr>
        <sz val="10"/>
        <rFont val="Malgun Gothic"/>
        <family val="3"/>
        <charset val="129"/>
      </rPr>
      <t xml:space="preserve">1. </t>
    </r>
    <r>
      <rPr>
        <sz val="10"/>
        <rFont val="Noto Sans CJK SC"/>
        <family val="2"/>
      </rPr>
      <t xml:space="preserve">개발자 도구 </t>
    </r>
    <r>
      <rPr>
        <sz val="10"/>
        <rFont val="Malgun Gothic"/>
        <family val="3"/>
        <charset val="129"/>
      </rPr>
      <t>Console</t>
    </r>
    <r>
      <rPr>
        <sz val="10"/>
        <rFont val="Noto Sans CJK SC"/>
        <family val="2"/>
      </rPr>
      <t xml:space="preserve">을 연 상태로 로그인
</t>
    </r>
    <r>
      <rPr>
        <sz val="10"/>
        <rFont val="Malgun Gothic"/>
        <family val="3"/>
        <charset val="129"/>
      </rPr>
      <t xml:space="preserve">2. </t>
    </r>
    <r>
      <rPr>
        <sz val="10"/>
        <rFont val="Noto Sans CJK SC"/>
        <family val="2"/>
      </rPr>
      <t>출력 내용 확인</t>
    </r>
  </si>
  <si>
    <r>
      <rPr>
        <sz val="10"/>
        <rFont val="Noto Sans CJK SC"/>
        <family val="2"/>
      </rPr>
      <t xml:space="preserve">응답 데이터나 비밀번호가 </t>
    </r>
    <r>
      <rPr>
        <sz val="10"/>
        <rFont val="Malgun Gothic"/>
        <family val="3"/>
        <charset val="129"/>
      </rPr>
      <t>Console</t>
    </r>
    <r>
      <rPr>
        <sz val="10"/>
        <rFont val="Noto Sans CJK SC"/>
        <family val="2"/>
      </rPr>
      <t>에 출력되지 않음</t>
    </r>
  </si>
  <si>
    <r>
      <rPr>
        <sz val="10"/>
        <rFont val="Malgun Gothic"/>
        <family val="3"/>
        <charset val="129"/>
      </rPr>
      <t xml:space="preserve">console.log </t>
    </r>
    <r>
      <rPr>
        <sz val="10"/>
        <rFont val="Noto Sans CJK SC"/>
        <family val="2"/>
      </rPr>
      <t>제거 후 출력 없음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</si>
  <si>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4.1</t>
    </r>
  </si>
  <si>
    <t>JN-01</t>
  </si>
  <si>
    <r>
      <rPr>
        <sz val="10"/>
        <rFont val="Noto Sans CJK SC"/>
        <family val="2"/>
      </rPr>
      <t xml:space="preserve">화면 가입 후 </t>
    </r>
    <r>
      <rPr>
        <sz val="10"/>
        <rFont val="Malgun Gothic"/>
        <family val="3"/>
        <charset val="129"/>
      </rPr>
      <t xml:space="preserve">DB </t>
    </r>
    <r>
      <rPr>
        <sz val="10"/>
        <rFont val="Noto Sans CJK SC"/>
        <family val="2"/>
      </rPr>
      <t>저장</t>
    </r>
  </si>
  <si>
    <r>
      <rPr>
        <sz val="10"/>
        <rFont val="Malgun Gothic"/>
        <family val="3"/>
        <charset val="129"/>
      </rPr>
      <t>1. /join</t>
    </r>
    <r>
      <rPr>
        <sz val="10"/>
        <rFont val="Noto Sans CJK SC"/>
        <family val="2"/>
      </rPr>
      <t xml:space="preserve">에서 모든 칸 입력 후 회원가입 클릭
</t>
    </r>
    <r>
      <rPr>
        <sz val="10"/>
        <rFont val="Malgun Gothic"/>
        <family val="3"/>
        <charset val="129"/>
      </rPr>
      <t xml:space="preserve">2. /login </t>
    </r>
    <r>
      <rPr>
        <sz val="10"/>
        <rFont val="Noto Sans CJK SC"/>
        <family val="2"/>
      </rPr>
      <t xml:space="preserve">이동 대기
</t>
    </r>
    <r>
      <rPr>
        <sz val="10"/>
        <rFont val="Malgun Gothic"/>
        <family val="3"/>
        <charset val="129"/>
      </rPr>
      <t xml:space="preserve">3. user </t>
    </r>
    <r>
      <rPr>
        <sz val="10"/>
        <rFont val="Noto Sans CJK SC"/>
        <family val="2"/>
      </rPr>
      <t xml:space="preserve">테이블 조회
</t>
    </r>
    <r>
      <rPr>
        <sz val="10"/>
        <rFont val="Malgun Gothic"/>
        <family val="3"/>
        <charset val="129"/>
      </rPr>
      <t xml:space="preserve">4. </t>
    </r>
    <r>
      <rPr>
        <sz val="10"/>
        <rFont val="Noto Sans CJK SC"/>
        <family val="2"/>
      </rPr>
      <t>테스트 계정 삭제</t>
    </r>
  </si>
  <si>
    <r>
      <rPr>
        <sz val="10"/>
        <rFont val="Noto Sans CJK SC"/>
        <family val="2"/>
      </rPr>
      <t>새 아이디</t>
    </r>
    <r>
      <rPr>
        <sz val="10"/>
        <rFont val="Malgun Gothic"/>
        <family val="3"/>
        <charset val="129"/>
      </rPr>
      <t xml:space="preserve">(uuid), </t>
    </r>
    <r>
      <rPr>
        <sz val="10"/>
        <rFont val="Noto Sans CJK SC"/>
        <family val="2"/>
      </rPr>
      <t>규칙을 충족한 비밀번호</t>
    </r>
  </si>
  <si>
    <r>
      <rPr>
        <sz val="10"/>
        <rFont val="Malgun Gothic"/>
        <family val="3"/>
        <charset val="129"/>
      </rPr>
      <t xml:space="preserve">/login </t>
    </r>
    <r>
      <rPr>
        <sz val="10"/>
        <rFont val="Noto Sans CJK SC"/>
        <family val="2"/>
      </rPr>
      <t>이동</t>
    </r>
    <r>
      <rPr>
        <sz val="10"/>
        <rFont val="Malgun Gothic"/>
        <family val="3"/>
        <charset val="129"/>
      </rPr>
      <t>, user 1</t>
    </r>
    <r>
      <rPr>
        <sz val="10"/>
        <rFont val="Noto Sans CJK SC"/>
        <family val="2"/>
      </rPr>
      <t>행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비밀번호가 </t>
    </r>
    <r>
      <rPr>
        <sz val="10"/>
        <rFont val="Malgun Gothic"/>
        <family val="3"/>
        <charset val="129"/>
      </rPr>
      <t xml:space="preserve">BCrypt </t>
    </r>
    <r>
      <rPr>
        <sz val="10"/>
        <rFont val="Noto Sans CJK SC"/>
        <family val="2"/>
      </rPr>
      <t>해시이며 원문과 다름</t>
    </r>
  </si>
  <si>
    <r>
      <rPr>
        <sz val="10"/>
        <rFont val="Noto Sans CJK SC"/>
        <family val="2"/>
      </rPr>
      <t xml:space="preserve">가입 성공 시 </t>
    </r>
    <r>
      <rPr>
        <sz val="10"/>
        <rFont val="Malgun Gothic"/>
        <family val="3"/>
        <charset val="129"/>
      </rPr>
      <t xml:space="preserve">alert </t>
    </r>
    <r>
      <rPr>
        <sz val="10"/>
        <rFont val="Noto Sans CJK SC"/>
        <family val="2"/>
      </rPr>
      <t>없이 바로 이동</t>
    </r>
  </si>
  <si>
    <t>JN-02</t>
  </si>
  <si>
    <t>폼 형식 정상 가입</t>
  </si>
  <si>
    <r>
      <rPr>
        <sz val="10"/>
        <rFont val="Malgun Gothic"/>
        <family val="3"/>
        <charset val="129"/>
      </rPr>
      <t xml:space="preserve">1. POST /join/action (application/x-www-form-urlencoded)
2. user </t>
    </r>
    <r>
      <rPr>
        <sz val="10"/>
        <rFont val="Noto Sans CJK SC"/>
        <family val="2"/>
      </rPr>
      <t>테이블 행 수 확인</t>
    </r>
  </si>
  <si>
    <t>정상 입력값</t>
  </si>
  <si>
    <r>
      <rPr>
        <sz val="10"/>
        <rFont val="Malgun Gothic"/>
        <family val="3"/>
        <charset val="129"/>
      </rPr>
      <t>200, user 1</t>
    </r>
    <r>
      <rPr>
        <sz val="10"/>
        <rFont val="Noto Sans CJK SC"/>
        <family val="2"/>
      </rPr>
      <t>행 저장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</si>
  <si>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5.5</t>
    </r>
  </si>
  <si>
    <t>화면과 같은 폼 형식으로 요청</t>
  </si>
  <si>
    <t>JN-03</t>
  </si>
  <si>
    <r>
      <rPr>
        <sz val="10"/>
        <rFont val="Malgun Gothic"/>
        <family val="3"/>
        <charset val="129"/>
      </rPr>
      <t xml:space="preserve">JSON </t>
    </r>
    <r>
      <rPr>
        <sz val="10"/>
        <rFont val="Noto Sans CJK SC"/>
        <family val="2"/>
      </rPr>
      <t>형식 요청</t>
    </r>
  </si>
  <si>
    <r>
      <rPr>
        <sz val="10"/>
        <rFont val="Malgun Gothic"/>
        <family val="3"/>
        <charset val="129"/>
      </rPr>
      <t xml:space="preserve">1. POST /join/action (application/json)
2. </t>
    </r>
    <r>
      <rPr>
        <sz val="10"/>
        <rFont val="Noto Sans CJK SC"/>
        <family val="2"/>
      </rPr>
      <t xml:space="preserve">응답과 </t>
    </r>
    <r>
      <rPr>
        <sz val="10"/>
        <rFont val="Malgun Gothic"/>
        <family val="3"/>
        <charset val="129"/>
      </rPr>
      <t xml:space="preserve">user </t>
    </r>
    <r>
      <rPr>
        <sz val="10"/>
        <rFont val="Noto Sans CJK SC"/>
        <family val="2"/>
      </rPr>
      <t>행 수 확인</t>
    </r>
  </si>
  <si>
    <r>
      <rPr>
        <sz val="10"/>
        <rFont val="Noto Sans CJK SC"/>
        <family val="2"/>
      </rPr>
      <t xml:space="preserve">정상 입력값을 </t>
    </r>
    <r>
      <rPr>
        <sz val="10"/>
        <rFont val="Malgun Gothic"/>
        <family val="3"/>
        <charset val="129"/>
      </rPr>
      <t xml:space="preserve">JSON </t>
    </r>
    <r>
      <rPr>
        <sz val="10"/>
        <rFont val="Noto Sans CJK SC"/>
        <family val="2"/>
      </rPr>
      <t>본문으로 전송</t>
    </r>
  </si>
  <si>
    <r>
      <rPr>
        <sz val="10"/>
        <rFont val="Noto Sans CJK SC"/>
        <family val="2"/>
      </rPr>
      <t>저장되지 않으면 오류 응답</t>
    </r>
    <r>
      <rPr>
        <sz val="10"/>
        <rFont val="Malgun Gothic"/>
        <family val="3"/>
        <charset val="129"/>
      </rPr>
      <t>(4xx/5xx)</t>
    </r>
    <r>
      <rPr>
        <sz val="10"/>
        <rFont val="Noto Sans CJK SC"/>
        <family val="2"/>
      </rPr>
      <t>으로 실패를 알림</t>
    </r>
  </si>
  <si>
    <r>
      <rPr>
        <sz val="10"/>
        <rFont val="Malgun Gothic"/>
        <family val="3"/>
        <charset val="129"/>
      </rPr>
      <t xml:space="preserve">200 {} </t>
    </r>
    <r>
      <rPr>
        <sz val="10"/>
        <rFont val="Noto Sans CJK SC"/>
        <family val="2"/>
      </rPr>
      <t>응답</t>
    </r>
    <r>
      <rPr>
        <sz val="10"/>
        <rFont val="Malgun Gothic"/>
        <family val="3"/>
        <charset val="129"/>
      </rPr>
      <t>, user 0</t>
    </r>
    <r>
      <rPr>
        <sz val="10"/>
        <rFont val="Noto Sans CJK SC"/>
        <family val="2"/>
      </rPr>
      <t>행</t>
    </r>
    <r>
      <rPr>
        <sz val="10"/>
        <rFont val="Malgun Gothic"/>
        <family val="3"/>
        <charset val="129"/>
      </rPr>
      <t xml:space="preserve">. </t>
    </r>
    <r>
      <rPr>
        <sz val="10"/>
        <rFont val="Noto Sans CJK SC"/>
        <family val="2"/>
      </rPr>
      <t xml:space="preserve">필드 </t>
    </r>
    <r>
      <rPr>
        <sz val="10"/>
        <rFont val="Malgun Gothic"/>
        <family val="3"/>
        <charset val="129"/>
      </rPr>
      <t xml:space="preserve">null → </t>
    </r>
    <r>
      <rPr>
        <sz val="10"/>
        <rFont val="Noto Sans CJK SC"/>
        <family val="2"/>
      </rPr>
      <t xml:space="preserve">암호화 예외를 </t>
    </r>
    <r>
      <rPr>
        <sz val="10"/>
        <rFont val="Malgun Gothic"/>
        <family val="3"/>
        <charset val="129"/>
      </rPr>
      <t>catch</t>
    </r>
    <r>
      <rPr>
        <sz val="10"/>
        <rFont val="Noto Sans CJK SC"/>
        <family val="2"/>
      </rPr>
      <t>에서 삼킴</t>
    </r>
  </si>
  <si>
    <t>JN-04</t>
  </si>
  <si>
    <t>이름 공란</t>
  </si>
  <si>
    <r>
      <rPr>
        <sz val="10"/>
        <rFont val="Malgun Gothic"/>
        <family val="3"/>
        <charset val="129"/>
      </rPr>
      <t>1. POST /join/action (</t>
    </r>
    <r>
      <rPr>
        <sz val="10"/>
        <rFont val="Noto Sans CJK SC"/>
        <family val="2"/>
      </rPr>
      <t>폼 형식</t>
    </r>
    <r>
      <rPr>
        <sz val="10"/>
        <rFont val="Malgun Gothic"/>
        <family val="3"/>
        <charset val="129"/>
      </rPr>
      <t xml:space="preserve">)
2. </t>
    </r>
    <r>
      <rPr>
        <sz val="10"/>
        <rFont val="Noto Sans CJK SC"/>
        <family val="2"/>
      </rPr>
      <t xml:space="preserve">응답과 </t>
    </r>
    <r>
      <rPr>
        <sz val="10"/>
        <rFont val="Malgun Gothic"/>
        <family val="3"/>
        <charset val="129"/>
      </rPr>
      <t xml:space="preserve">user </t>
    </r>
    <r>
      <rPr>
        <sz val="10"/>
        <rFont val="Noto Sans CJK SC"/>
        <family val="2"/>
      </rPr>
      <t xml:space="preserve">행 수 확인
</t>
    </r>
    <r>
      <rPr>
        <sz val="10"/>
        <rFont val="Malgun Gothic"/>
        <family val="3"/>
        <charset val="129"/>
      </rPr>
      <t xml:space="preserve">3. </t>
    </r>
    <r>
      <rPr>
        <sz val="10"/>
        <rFont val="Noto Sans CJK SC"/>
        <family val="2"/>
      </rPr>
      <t>테스트 계정 삭제</t>
    </r>
  </si>
  <si>
    <r>
      <rPr>
        <sz val="10"/>
        <rFont val="Malgun Gothic"/>
        <family val="3"/>
        <charset val="129"/>
      </rPr>
      <t xml:space="preserve">userName = </t>
    </r>
    <r>
      <rPr>
        <sz val="10"/>
        <rFont val="Noto Sans CJK SC"/>
        <family val="2"/>
      </rPr>
      <t>빈 값</t>
    </r>
  </si>
  <si>
    <r>
      <rPr>
        <sz val="10"/>
        <rFont val="Malgun Gothic"/>
        <family val="3"/>
        <charset val="129"/>
      </rPr>
      <t>400, msg "</t>
    </r>
    <r>
      <rPr>
        <sz val="10"/>
        <rFont val="Noto Sans CJK SC"/>
        <family val="2"/>
      </rPr>
      <t>입력이 안된 사항이 있습니다</t>
    </r>
    <r>
      <rPr>
        <sz val="10"/>
        <rFont val="Malgun Gothic"/>
        <family val="3"/>
        <charset val="129"/>
      </rPr>
      <t xml:space="preserve">.", </t>
    </r>
    <r>
      <rPr>
        <sz val="10"/>
        <rFont val="Noto Sans CJK SC"/>
        <family val="2"/>
      </rPr>
      <t>저장 안 됨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</si>
  <si>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6.1</t>
    </r>
  </si>
  <si>
    <r>
      <rPr>
        <sz val="10"/>
        <rFont val="Malgun Gothic"/>
        <family val="3"/>
        <charset val="129"/>
      </rPr>
      <t>LoginService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3"/>
        <charset val="129"/>
      </rPr>
      <t xml:space="preserve">== "" </t>
    </r>
    <r>
      <rPr>
        <sz val="10"/>
        <rFont val="Noto Sans CJK SC"/>
        <family val="2"/>
      </rPr>
      <t xml:space="preserve">비교로 빈 값 검사가 동작하지 않을 가능성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코드 분석</t>
    </r>
    <r>
      <rPr>
        <sz val="10"/>
        <rFont val="Malgun Gothic"/>
        <family val="3"/>
        <charset val="129"/>
      </rPr>
      <t>)</t>
    </r>
  </si>
  <si>
    <t>JN-05</t>
  </si>
  <si>
    <t>이메일 공란</t>
  </si>
  <si>
    <r>
      <rPr>
        <sz val="10"/>
        <rFont val="Malgun Gothic"/>
        <family val="3"/>
        <charset val="129"/>
      </rPr>
      <t xml:space="preserve">eMail = </t>
    </r>
    <r>
      <rPr>
        <sz val="10"/>
        <rFont val="Noto Sans CJK SC"/>
        <family val="2"/>
      </rPr>
      <t>빈 값</t>
    </r>
  </si>
  <si>
    <t>JN-06</t>
  </si>
  <si>
    <t>중복 아이디</t>
  </si>
  <si>
    <t>이미 가입된 아이디</t>
  </si>
  <si>
    <r>
      <rPr>
        <sz val="10"/>
        <rFont val="Malgun Gothic"/>
        <family val="3"/>
        <charset val="129"/>
      </rPr>
      <t>400, msg "</t>
    </r>
    <r>
      <rPr>
        <sz val="10"/>
        <rFont val="Noto Sans CJK SC"/>
        <family val="2"/>
      </rPr>
      <t xml:space="preserve">이미 존재하는 </t>
    </r>
    <r>
      <rPr>
        <sz val="10"/>
        <rFont val="Malgun Gothic"/>
        <family val="3"/>
        <charset val="129"/>
      </rPr>
      <t>ID</t>
    </r>
    <r>
      <rPr>
        <sz val="10"/>
        <rFont val="Noto Sans CJK SC"/>
        <family val="2"/>
      </rPr>
      <t>입니다</t>
    </r>
    <r>
      <rPr>
        <sz val="10"/>
        <rFont val="Malgun Gothic"/>
        <family val="3"/>
        <charset val="129"/>
      </rPr>
      <t xml:space="preserve">.", </t>
    </r>
    <r>
      <rPr>
        <sz val="10"/>
        <rFont val="Noto Sans CJK SC"/>
        <family val="2"/>
      </rPr>
      <t>행 수 변화 없음</t>
    </r>
  </si>
  <si>
    <r>
      <rPr>
        <sz val="10"/>
        <rFont val="Noto Sans CJK SC"/>
        <family val="2"/>
      </rPr>
      <t xml:space="preserve">코드 </t>
    </r>
    <r>
      <rPr>
        <sz val="10"/>
        <rFont val="Malgun Gothic"/>
        <family val="3"/>
        <charset val="129"/>
      </rPr>
      <t>(UserDto, LoginService)</t>
    </r>
  </si>
  <si>
    <t>JN-07</t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</si>
  <si>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3"/>
        <charset val="129"/>
      </rPr>
      <t>4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하한 미만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</si>
  <si>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userId 4</t>
    </r>
    <r>
      <rPr>
        <sz val="10"/>
        <rFont val="Noto Sans CJK SC"/>
        <family val="2"/>
      </rPr>
      <t>자</t>
    </r>
  </si>
  <si>
    <r>
      <rPr>
        <sz val="10"/>
        <rFont val="Malgun Gothic"/>
        <family val="3"/>
        <charset val="129"/>
      </rPr>
      <t>400, id_error "</t>
    </r>
    <r>
      <rPr>
        <sz val="10"/>
        <rFont val="Noto Sans CJK SC"/>
        <family val="2"/>
      </rPr>
      <t xml:space="preserve">아이디는 </t>
    </r>
    <r>
      <rPr>
        <sz val="10"/>
        <rFont val="Malgun Gothic"/>
        <family val="3"/>
        <charset val="129"/>
      </rPr>
      <t xml:space="preserve">5~20 </t>
    </r>
    <r>
      <rPr>
        <sz val="10"/>
        <rFont val="Noto Sans CJK SC"/>
        <family val="2"/>
      </rPr>
      <t>자리로 입력해주세요</t>
    </r>
    <r>
      <rPr>
        <sz val="10"/>
        <rFont val="Malgun Gothic"/>
        <family val="3"/>
        <charset val="129"/>
      </rPr>
      <t>."</t>
    </r>
  </si>
  <si>
    <t>JN-08</t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</si>
  <si>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3"/>
        <charset val="129"/>
      </rPr>
      <t>5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하한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</si>
  <si>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userId 5</t>
    </r>
    <r>
      <rPr>
        <sz val="10"/>
        <rFont val="Noto Sans CJK SC"/>
        <family val="2"/>
      </rPr>
      <t>자</t>
    </r>
  </si>
  <si>
    <r>
      <rPr>
        <sz val="10"/>
        <rFont val="Malgun Gothic"/>
        <family val="3"/>
        <charset val="129"/>
      </rPr>
      <t xml:space="preserve">200, </t>
    </r>
    <r>
      <rPr>
        <sz val="10"/>
        <rFont val="Noto Sans CJK SC"/>
        <family val="2"/>
      </rPr>
      <t>저장됨</t>
    </r>
  </si>
  <si>
    <t>JN-09</t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</si>
  <si>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3"/>
        <charset val="129"/>
      </rPr>
      <t>20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상한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</si>
  <si>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userId 20</t>
    </r>
    <r>
      <rPr>
        <sz val="10"/>
        <rFont val="Noto Sans CJK SC"/>
        <family val="2"/>
      </rPr>
      <t>자</t>
    </r>
  </si>
  <si>
    <t>JN-10</t>
  </si>
  <si>
    <r>
      <rPr>
        <sz val="10"/>
        <rFont val="Noto Sans CJK SC"/>
        <family val="2"/>
      </rPr>
      <t xml:space="preserve">아이디 </t>
    </r>
    <r>
      <rPr>
        <sz val="10"/>
        <rFont val="Malgun Gothic"/>
        <family val="3"/>
        <charset val="129"/>
      </rPr>
      <t>21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상한 초과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</si>
  <si>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userId 21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3"/>
        <charset val="129"/>
      </rPr>
      <t>(API</t>
    </r>
    <r>
      <rPr>
        <sz val="10"/>
        <rFont val="Noto Sans CJK SC"/>
        <family val="2"/>
      </rPr>
      <t>로 전송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화면은 </t>
    </r>
    <r>
      <rPr>
        <sz val="10"/>
        <rFont val="Malgun Gothic"/>
        <family val="3"/>
        <charset val="129"/>
      </rPr>
      <t>maxlength 20)</t>
    </r>
  </si>
  <si>
    <t>JN-11</t>
  </si>
  <si>
    <r>
      <rPr>
        <sz val="10"/>
        <rFont val="Noto Sans CJK SC"/>
        <family val="2"/>
      </rPr>
      <t xml:space="preserve">비밀번호 </t>
    </r>
    <r>
      <rPr>
        <sz val="10"/>
        <rFont val="Malgun Gothic"/>
        <family val="3"/>
        <charset val="129"/>
      </rPr>
      <t>7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하한 미만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</si>
  <si>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영문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숫자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특수문자 포함 </t>
    </r>
    <r>
      <rPr>
        <sz val="10"/>
        <rFont val="Malgun Gothic"/>
        <family val="3"/>
        <charset val="129"/>
      </rPr>
      <t>7</t>
    </r>
    <r>
      <rPr>
        <sz val="10"/>
        <rFont val="Noto Sans CJK SC"/>
        <family val="2"/>
      </rPr>
      <t>자</t>
    </r>
  </si>
  <si>
    <r>
      <rPr>
        <sz val="10"/>
        <rFont val="Malgun Gothic"/>
        <family val="3"/>
        <charset val="129"/>
      </rPr>
      <t>400, pw_error "</t>
    </r>
    <r>
      <rPr>
        <sz val="10"/>
        <rFont val="Noto Sans CJK SC"/>
        <family val="2"/>
      </rPr>
      <t>비밀번호는 영문과 특수문자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숫자를 포함하며 </t>
    </r>
    <r>
      <rPr>
        <sz val="10"/>
        <rFont val="Malgun Gothic"/>
        <family val="3"/>
        <charset val="129"/>
      </rPr>
      <t>8</t>
    </r>
    <r>
      <rPr>
        <sz val="10"/>
        <rFont val="Noto Sans CJK SC"/>
        <family val="2"/>
      </rPr>
      <t>자 이상이어야 합니다</t>
    </r>
    <r>
      <rPr>
        <sz val="10"/>
        <rFont val="Malgun Gothic"/>
        <family val="3"/>
        <charset val="129"/>
      </rPr>
      <t>."</t>
    </r>
  </si>
  <si>
    <t>JN-12</t>
  </si>
  <si>
    <r>
      <rPr>
        <sz val="10"/>
        <rFont val="Noto Sans CJK SC"/>
        <family val="2"/>
      </rPr>
      <t xml:space="preserve">비밀번호 </t>
    </r>
    <r>
      <rPr>
        <sz val="10"/>
        <rFont val="Malgun Gothic"/>
        <family val="3"/>
        <charset val="129"/>
      </rPr>
      <t>8</t>
    </r>
    <r>
      <rPr>
        <sz val="10"/>
        <rFont val="Noto Sans CJK SC"/>
        <family val="2"/>
      </rPr>
      <t xml:space="preserve">자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하한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</si>
  <si>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영문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숫자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특수문자 포함 </t>
    </r>
    <r>
      <rPr>
        <sz val="10"/>
        <rFont val="Malgun Gothic"/>
        <family val="3"/>
        <charset val="129"/>
      </rPr>
      <t>8</t>
    </r>
    <r>
      <rPr>
        <sz val="10"/>
        <rFont val="Noto Sans CJK SC"/>
        <family val="2"/>
      </rPr>
      <t>자</t>
    </r>
  </si>
  <si>
    <t>JN-13</t>
  </si>
  <si>
    <t>비밀번호 특수문자 누락</t>
  </si>
  <si>
    <r>
      <rPr>
        <sz val="10"/>
        <rFont val="Noto Sans CJK SC"/>
        <family val="2"/>
      </rPr>
      <t>영문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숫자만 </t>
    </r>
    <r>
      <rPr>
        <sz val="10"/>
        <rFont val="Malgun Gothic"/>
        <family val="3"/>
        <charset val="129"/>
      </rPr>
      <t>10</t>
    </r>
    <r>
      <rPr>
        <sz val="10"/>
        <rFont val="Noto Sans CJK SC"/>
        <family val="2"/>
      </rPr>
      <t>자</t>
    </r>
  </si>
  <si>
    <r>
      <rPr>
        <sz val="10"/>
        <rFont val="Malgun Gothic"/>
        <family val="3"/>
        <charset val="129"/>
      </rPr>
      <t>400, pw_error (JN-11</t>
    </r>
    <r>
      <rPr>
        <sz val="10"/>
        <rFont val="Noto Sans CJK SC"/>
        <family val="2"/>
      </rPr>
      <t>과 같은 문구</t>
    </r>
    <r>
      <rPr>
        <sz val="10"/>
        <rFont val="Malgun Gothic"/>
        <family val="3"/>
        <charset val="129"/>
      </rPr>
      <t>)</t>
    </r>
  </si>
  <si>
    <t>JN-14</t>
  </si>
  <si>
    <r>
      <rPr>
        <sz val="10"/>
        <rFont val="Malgun Gothic"/>
        <family val="3"/>
        <charset val="129"/>
      </rPr>
      <t>72</t>
    </r>
    <r>
      <rPr>
        <sz val="10"/>
        <rFont val="Noto Sans CJK SC"/>
        <family val="2"/>
      </rPr>
      <t>바이트 초과 비밀번호</t>
    </r>
  </si>
  <si>
    <r>
      <rPr>
        <sz val="10"/>
        <rFont val="Noto Sans CJK SC"/>
        <family val="2"/>
      </rPr>
      <t>보안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경계값</t>
    </r>
  </si>
  <si>
    <r>
      <rPr>
        <sz val="10"/>
        <rFont val="Noto Sans CJK SC"/>
        <family val="2"/>
      </rPr>
      <t>가입</t>
    </r>
    <r>
      <rPr>
        <sz val="10"/>
        <rFont val="Malgun Gothic"/>
        <family val="3"/>
        <charset val="129"/>
      </rPr>
      <t>: 80</t>
    </r>
    <r>
      <rPr>
        <sz val="10"/>
        <rFont val="Noto Sans CJK SC"/>
        <family val="2"/>
      </rPr>
      <t xml:space="preserve">자 비밀번호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로그인</t>
    </r>
    <r>
      <rPr>
        <sz val="10"/>
        <rFont val="Malgun Gothic"/>
        <family val="3"/>
        <charset val="129"/>
      </rPr>
      <t xml:space="preserve">: </t>
    </r>
    <r>
      <rPr>
        <sz val="10"/>
        <rFont val="Noto Sans CJK SC"/>
        <family val="2"/>
      </rPr>
      <t xml:space="preserve">앞 </t>
    </r>
    <r>
      <rPr>
        <sz val="10"/>
        <rFont val="Malgun Gothic"/>
        <family val="3"/>
        <charset val="129"/>
      </rPr>
      <t>72</t>
    </r>
    <r>
      <rPr>
        <sz val="10"/>
        <rFont val="Noto Sans CJK SC"/>
        <family val="2"/>
      </rPr>
      <t>자 동일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뒤 </t>
    </r>
    <r>
      <rPr>
        <sz val="10"/>
        <rFont val="Malgun Gothic"/>
        <family val="3"/>
        <charset val="129"/>
      </rPr>
      <t>8</t>
    </r>
    <r>
      <rPr>
        <sz val="10"/>
        <rFont val="Noto Sans CJK SC"/>
        <family val="2"/>
      </rPr>
      <t>자 변경</t>
    </r>
  </si>
  <si>
    <r>
      <rPr>
        <sz val="10"/>
        <rFont val="Noto Sans CJK SC"/>
        <family val="2"/>
      </rPr>
      <t xml:space="preserve">로그인 실패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또는 가입 단계에서 길이 제한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</si>
  <si>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BCrypt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3"/>
        <charset val="129"/>
      </rPr>
      <t>72</t>
    </r>
    <r>
      <rPr>
        <sz val="10"/>
        <rFont val="Noto Sans CJK SC"/>
        <family val="2"/>
      </rPr>
      <t>바이트 이후를 무시하는 특성</t>
    </r>
  </si>
  <si>
    <t>AD-01</t>
  </si>
  <si>
    <t>대시보드 파라미터 없이 접속</t>
  </si>
  <si>
    <r>
      <rPr>
        <sz val="10"/>
        <rFont val="Noto Sans CJK SC"/>
        <family val="2"/>
      </rPr>
      <t>사용성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회귀</t>
    </r>
  </si>
  <si>
    <t>관리자 계정</t>
  </si>
  <si>
    <r>
      <rPr>
        <sz val="10"/>
        <rFont val="Malgun Gothic"/>
        <family val="3"/>
        <charset val="129"/>
      </rPr>
      <t xml:space="preserve">/admin </t>
    </r>
    <r>
      <rPr>
        <sz val="10"/>
        <rFont val="Noto Sans CJK SC"/>
        <family val="2"/>
      </rPr>
      <t>접속</t>
    </r>
  </si>
  <si>
    <t>쿼리 파라미터 없음</t>
  </si>
  <si>
    <r>
      <rPr>
        <sz val="10"/>
        <rFont val="Noto Sans CJK SC"/>
        <family val="2"/>
      </rPr>
      <t xml:space="preserve">오늘 기준 통계로 대시보드 표시 </t>
    </r>
    <r>
      <rPr>
        <sz val="10"/>
        <rFont val="Malgun Gothic"/>
        <family val="3"/>
        <charset val="129"/>
      </rPr>
      <t xml:space="preserve">(400 </t>
    </r>
    <r>
      <rPr>
        <sz val="10"/>
        <rFont val="Noto Sans CJK SC"/>
        <family val="2"/>
      </rPr>
      <t>없음</t>
    </r>
    <r>
      <rPr>
        <sz val="10"/>
        <rFont val="Malgun Gothic"/>
        <family val="3"/>
        <charset val="129"/>
      </rPr>
      <t>)</t>
    </r>
  </si>
  <si>
    <t>대시보드 정상 표시</t>
  </si>
  <si>
    <r>
      <rPr>
        <sz val="10"/>
        <rFont val="Noto Sans CJK SC"/>
        <family val="2"/>
      </rPr>
      <t xml:space="preserve">수동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브라우저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</si>
  <si>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4.2</t>
    </r>
  </si>
  <si>
    <r>
      <rPr>
        <sz val="10"/>
        <rFont val="Noto Sans CJK SC"/>
        <family val="2"/>
      </rPr>
      <t xml:space="preserve">수정 전에는 </t>
    </r>
    <r>
      <rPr>
        <sz val="10"/>
        <rFont val="Malgun Gothic"/>
        <family val="3"/>
        <charset val="129"/>
      </rPr>
      <t>Whitelabel Error Page(400)</t>
    </r>
  </si>
  <si>
    <t>AD-02</t>
  </si>
  <si>
    <t>대시보드 날짜 지정 조회</t>
  </si>
  <si>
    <t>회귀</t>
  </si>
  <si>
    <t>to=2022-09-10</t>
  </si>
  <si>
    <r>
      <rPr>
        <sz val="10"/>
        <rFont val="Noto Sans CJK SC"/>
        <family val="2"/>
      </rPr>
      <t xml:space="preserve">지정 날짜 기준 통계 표시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기존 기능 유지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</si>
  <si>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ET2 </t>
    </r>
    <r>
      <rPr>
        <sz val="10"/>
        <rFont val="Noto Sans CJK SC"/>
        <family val="2"/>
      </rPr>
      <t>수정의 하위 호환성 확인</t>
    </r>
  </si>
  <si>
    <t>AD-03</t>
  </si>
  <si>
    <t>관리자 로그인 실패 알림</t>
  </si>
  <si>
    <t>사용성</t>
  </si>
  <si>
    <t>틀린 관리자 비밀번호로 로그인</t>
  </si>
  <si>
    <r>
      <rPr>
        <sz val="10"/>
        <rFont val="Noto Sans CJK SC"/>
        <family val="2"/>
      </rPr>
      <t>실패 알림</t>
    </r>
    <r>
      <rPr>
        <sz val="10"/>
        <rFont val="Malgun Gothic"/>
        <family val="3"/>
        <charset val="129"/>
      </rPr>
      <t xml:space="preserve">(alert) </t>
    </r>
    <r>
      <rPr>
        <sz val="10"/>
        <rFont val="Noto Sans CJK SC"/>
        <family val="2"/>
      </rPr>
      <t>표시</t>
    </r>
  </si>
  <si>
    <t>수정 후 알림 표시</t>
  </si>
  <si>
    <t>수동</t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</si>
  <si>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4.3</t>
    </r>
  </si>
  <si>
    <t>AD-04</t>
  </si>
  <si>
    <r>
      <rPr>
        <sz val="10"/>
        <rFont val="Malgun Gothic"/>
        <family val="3"/>
        <charset val="129"/>
      </rPr>
      <t>1. /admin/bulk-pass</t>
    </r>
    <r>
      <rPr>
        <sz val="10"/>
        <rFont val="Noto Sans CJK SC"/>
        <family val="2"/>
      </rPr>
      <t>에서 패키지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회원 </t>
    </r>
    <r>
      <rPr>
        <sz val="10"/>
        <rFont val="Malgun Gothic"/>
        <family val="3"/>
        <charset val="129"/>
      </rPr>
      <t>ID·</t>
    </r>
    <r>
      <rPr>
        <sz val="10"/>
        <rFont val="Noto Sans CJK SC"/>
        <family val="2"/>
      </rPr>
      <t xml:space="preserve">시작 일시 입력
</t>
    </r>
    <r>
      <rPr>
        <sz val="10"/>
        <rFont val="Malgun Gothic"/>
        <family val="3"/>
        <charset val="129"/>
      </rPr>
      <t xml:space="preserve">2. + </t>
    </r>
    <r>
      <rPr>
        <sz val="10"/>
        <rFont val="Noto Sans CJK SC"/>
        <family val="2"/>
      </rPr>
      <t xml:space="preserve">등록 클릭
</t>
    </r>
    <r>
      <rPr>
        <sz val="10"/>
        <rFont val="Malgun Gothic"/>
        <family val="3"/>
        <charset val="129"/>
      </rPr>
      <t xml:space="preserve">3. </t>
    </r>
    <r>
      <rPr>
        <sz val="10"/>
        <rFont val="Noto Sans CJK SC"/>
        <family val="2"/>
      </rPr>
      <t>목록 확인</t>
    </r>
  </si>
  <si>
    <r>
      <rPr>
        <sz val="10"/>
        <rFont val="Noto Sans CJK SC"/>
        <family val="2"/>
      </rPr>
      <t xml:space="preserve">패키지 </t>
    </r>
    <r>
      <rPr>
        <sz val="10"/>
        <rFont val="Malgun Gothic"/>
        <family val="3"/>
        <charset val="129"/>
      </rPr>
      <t>1, A1000000, 2026-12-31 10:00</t>
    </r>
  </si>
  <si>
    <r>
      <rPr>
        <sz val="10"/>
        <rFont val="Malgun Gothic"/>
        <family val="3"/>
        <charset val="129"/>
      </rPr>
      <t xml:space="preserve">302 </t>
    </r>
    <r>
      <rPr>
        <sz val="10"/>
        <rFont val="Noto Sans CJK SC"/>
        <family val="2"/>
      </rPr>
      <t xml:space="preserve">후 목록에 </t>
    </r>
    <r>
      <rPr>
        <sz val="10"/>
        <rFont val="Malgun Gothic"/>
        <family val="3"/>
        <charset val="129"/>
      </rPr>
      <t>'</t>
    </r>
    <r>
      <rPr>
        <sz val="10"/>
        <rFont val="Noto Sans CJK SC"/>
        <family val="2"/>
      </rPr>
      <t>지급 전</t>
    </r>
    <r>
      <rPr>
        <sz val="10"/>
        <rFont val="Malgun Gothic"/>
        <family val="3"/>
        <charset val="129"/>
      </rPr>
      <t xml:space="preserve">' </t>
    </r>
    <r>
      <rPr>
        <sz val="10"/>
        <rFont val="Noto Sans CJK SC"/>
        <family val="2"/>
      </rPr>
      <t>상태로 표시</t>
    </r>
    <r>
      <rPr>
        <sz val="10"/>
        <rFont val="Malgun Gothic"/>
        <family val="3"/>
        <charset val="129"/>
      </rPr>
      <t>, bulk_pass READY 1</t>
    </r>
    <r>
      <rPr>
        <sz val="10"/>
        <rFont val="Noto Sans CJK SC"/>
        <family val="2"/>
      </rPr>
      <t>행</t>
    </r>
  </si>
  <si>
    <r>
      <rPr>
        <sz val="10"/>
        <rFont val="Malgun Gothic"/>
        <family val="3"/>
        <charset val="129"/>
      </rPr>
      <t xml:space="preserve">302, </t>
    </r>
    <r>
      <rPr>
        <sz val="10"/>
        <rFont val="Noto Sans CJK SC"/>
        <family val="2"/>
      </rPr>
      <t xml:space="preserve">목록에 </t>
    </r>
    <r>
      <rPr>
        <sz val="10"/>
        <rFont val="Malgun Gothic"/>
        <family val="3"/>
        <charset val="129"/>
      </rPr>
      <t>'</t>
    </r>
    <r>
      <rPr>
        <sz val="10"/>
        <rFont val="Noto Sans CJK SC"/>
        <family val="2"/>
      </rPr>
      <t>지급 전</t>
    </r>
    <r>
      <rPr>
        <sz val="10"/>
        <rFont val="Malgun Gothic"/>
        <family val="3"/>
        <charset val="129"/>
      </rPr>
      <t xml:space="preserve">' </t>
    </r>
    <r>
      <rPr>
        <sz val="10"/>
        <rFont val="Noto Sans CJK SC"/>
        <family val="2"/>
      </rPr>
      <t>표시</t>
    </r>
  </si>
  <si>
    <t>k6 (diag.js) + SQL</t>
  </si>
  <si>
    <t>AD-05</t>
  </si>
  <si>
    <t>시작 일시 형식 오류</t>
  </si>
  <si>
    <r>
      <rPr>
        <sz val="10"/>
        <rFont val="Noto Sans CJK SC"/>
        <family val="2"/>
      </rPr>
      <t xml:space="preserve">시작 일시를 형식에 맞지 않게 입력 후 </t>
    </r>
    <r>
      <rPr>
        <sz val="10"/>
        <rFont val="Malgun Gothic"/>
        <family val="3"/>
        <charset val="129"/>
      </rPr>
      <t xml:space="preserve">+ </t>
    </r>
    <r>
      <rPr>
        <sz val="10"/>
        <rFont val="Noto Sans CJK SC"/>
        <family val="2"/>
      </rPr>
      <t>등록</t>
    </r>
  </si>
  <si>
    <r>
      <rPr>
        <sz val="10"/>
        <rFont val="Malgun Gothic"/>
        <family val="3"/>
        <charset val="129"/>
      </rPr>
      <t>2026/12/31 10</t>
    </r>
    <r>
      <rPr>
        <sz val="10"/>
        <rFont val="Noto Sans CJK SC"/>
        <family val="2"/>
      </rPr>
      <t>시</t>
    </r>
  </si>
  <si>
    <r>
      <rPr>
        <sz val="10"/>
        <rFont val="Malgun Gothic"/>
        <family val="3"/>
        <charset val="129"/>
      </rPr>
      <t>alert "</t>
    </r>
    <r>
      <rPr>
        <sz val="10"/>
        <rFont val="Noto Sans CJK SC"/>
        <family val="2"/>
      </rPr>
      <t>올바른 날짜 형식을 입력해주세요</t>
    </r>
    <r>
      <rPr>
        <sz val="10"/>
        <rFont val="Malgun Gothic"/>
        <family val="3"/>
        <charset val="129"/>
      </rPr>
      <t>. (</t>
    </r>
    <r>
      <rPr>
        <sz val="10"/>
        <rFont val="Noto Sans CJK SC"/>
        <family val="2"/>
      </rPr>
      <t>예</t>
    </r>
    <r>
      <rPr>
        <sz val="10"/>
        <rFont val="Malgun Gothic"/>
        <family val="3"/>
        <charset val="129"/>
      </rPr>
      <t xml:space="preserve">: 2022-09-01 00:00)", </t>
    </r>
    <r>
      <rPr>
        <sz val="10"/>
        <rFont val="Noto Sans CJK SC"/>
        <family val="2"/>
      </rPr>
      <t>제출 중단</t>
    </r>
  </si>
  <si>
    <r>
      <rPr>
        <sz val="10"/>
        <rFont val="Noto Sans CJK SC"/>
        <family val="2"/>
      </rPr>
      <t xml:space="preserve">화면 소스 </t>
    </r>
    <r>
      <rPr>
        <sz val="10"/>
        <rFont val="Malgun Gothic"/>
        <family val="3"/>
        <charset val="129"/>
      </rPr>
      <t>(validateForm)</t>
    </r>
  </si>
  <si>
    <t>AD-06</t>
  </si>
  <si>
    <r>
      <rPr>
        <sz val="10"/>
        <rFont val="Noto Sans CJK SC"/>
        <family val="2"/>
      </rPr>
      <t xml:space="preserve">통계 그래프와 </t>
    </r>
    <r>
      <rPr>
        <sz val="10"/>
        <rFont val="Malgun Gothic"/>
        <family val="3"/>
        <charset val="129"/>
      </rPr>
      <t xml:space="preserve">DB </t>
    </r>
    <r>
      <rPr>
        <sz val="10"/>
        <rFont val="Noto Sans CJK SC"/>
        <family val="2"/>
      </rPr>
      <t>일치</t>
    </r>
  </si>
  <si>
    <r>
      <rPr>
        <sz val="10"/>
        <color rgb="FF000000"/>
        <rFont val="Noto Sans CJK SC"/>
      </rPr>
      <t>관리자 계정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</rPr>
      <t>통계 데이터 존재</t>
    </r>
  </si>
  <si>
    <r>
      <rPr>
        <sz val="10"/>
        <rFont val="Malgun Gothic"/>
        <family val="3"/>
        <charset val="129"/>
      </rPr>
      <t xml:space="preserve">1. </t>
    </r>
    <r>
      <rPr>
        <sz val="10"/>
        <rFont val="Noto Sans CJK SC"/>
        <family val="2"/>
      </rPr>
      <t xml:space="preserve">대시보드 그래프 값 확인
</t>
    </r>
    <r>
      <rPr>
        <sz val="10"/>
        <rFont val="Malgun Gothic"/>
        <family val="3"/>
        <charset val="129"/>
      </rPr>
      <t xml:space="preserve">2. statistics </t>
    </r>
    <r>
      <rPr>
        <sz val="10"/>
        <rFont val="Noto Sans CJK SC"/>
        <family val="2"/>
      </rPr>
      <t>테이블 집계값과 비교</t>
    </r>
  </si>
  <si>
    <t>특정 기준일</t>
  </si>
  <si>
    <r>
      <rPr>
        <sz val="10"/>
        <rFont val="Noto Sans CJK SC"/>
        <family val="2"/>
      </rPr>
      <t>그래프의 출석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취소 횟수가 </t>
    </r>
    <r>
      <rPr>
        <sz val="10"/>
        <rFont val="Malgun Gothic"/>
        <family val="3"/>
        <charset val="129"/>
      </rPr>
      <t xml:space="preserve">DB </t>
    </r>
    <r>
      <rPr>
        <sz val="10"/>
        <rFont val="Noto Sans CJK SC"/>
        <family val="2"/>
      </rPr>
      <t>집계값과 일치</t>
    </r>
  </si>
  <si>
    <r>
      <rPr>
        <sz val="10"/>
        <rFont val="Noto Sans CJK SC"/>
        <family val="2"/>
      </rPr>
      <t xml:space="preserve">보고서 </t>
    </r>
    <r>
      <rPr>
        <sz val="10"/>
        <rFont val="Malgun Gothic"/>
        <family val="3"/>
        <charset val="129"/>
      </rPr>
      <t>6.3</t>
    </r>
  </si>
  <si>
    <t>BK-01</t>
  </si>
  <si>
    <t>시간이 겹치는 예약</t>
  </si>
  <si>
    <r>
      <rPr>
        <sz val="10"/>
        <rFont val="Noto Sans CJK SC"/>
        <family val="2"/>
      </rPr>
      <t>경계값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네거티브</t>
    </r>
  </si>
  <si>
    <r>
      <rPr>
        <sz val="10"/>
        <rFont val="Noto Sans CJK SC"/>
        <family val="2"/>
      </rPr>
      <t>이용권을 가진 회원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예약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건 존재</t>
    </r>
  </si>
  <si>
    <t>기존 예약과 시간이 겹치는 예약 시도</t>
  </si>
  <si>
    <t>기존 예약과 시작 시간이 같거나 일부 겹치는 시간</t>
  </si>
  <si>
    <r>
      <rPr>
        <sz val="10"/>
        <rFont val="Noto Sans CJK SC"/>
        <family val="2"/>
      </rPr>
      <t>예약 차단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오류 안내</t>
    </r>
  </si>
  <si>
    <t>예정</t>
  </si>
  <si>
    <t>BK-02</t>
  </si>
  <si>
    <t>동시 요청 처리</t>
  </si>
  <si>
    <r>
      <rPr>
        <sz val="10"/>
        <rFont val="Noto Sans CJK SC"/>
        <family val="2"/>
      </rPr>
      <t>성능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데이터 정합성</t>
    </r>
  </si>
  <si>
    <r>
      <rPr>
        <sz val="10"/>
        <rFont val="Noto Sans CJK SC"/>
        <family val="2"/>
      </rPr>
      <t>이용권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강사 시간표 데이터 존재</t>
    </r>
  </si>
  <si>
    <r>
      <rPr>
        <sz val="10"/>
        <rFont val="Noto Sans CJK SC"/>
        <family val="2"/>
      </rPr>
      <t>이용권 차감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강사 시간표 변경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사용자 등록을 동시에 요청</t>
    </r>
  </si>
  <si>
    <r>
      <rPr>
        <sz val="10"/>
        <rFont val="Malgun Gothic"/>
        <family val="3"/>
        <charset val="129"/>
      </rPr>
      <t xml:space="preserve">k6 </t>
    </r>
    <r>
      <rPr>
        <sz val="10"/>
        <rFont val="Noto Sans CJK SC"/>
        <family val="2"/>
      </rPr>
      <t>병렬 시나리오</t>
    </r>
  </si>
  <si>
    <t>모든 요청이 정상 처리되고 잔여 횟수 등 데이터가 일관됨</t>
  </si>
  <si>
    <r>
      <rPr>
        <sz val="10"/>
        <rFont val="Malgun Gothic"/>
        <family val="3"/>
        <charset val="129"/>
      </rPr>
      <t>k6 (</t>
    </r>
    <r>
      <rPr>
        <sz val="10"/>
        <rFont val="Noto Sans CJK SC"/>
        <family val="2"/>
      </rPr>
      <t>예정</t>
    </r>
    <r>
      <rPr>
        <sz val="10"/>
        <rFont val="Malgun Gothic"/>
        <family val="3"/>
        <charset val="129"/>
      </rPr>
      <t>)</t>
    </r>
  </si>
  <si>
    <r>
      <rPr>
        <sz val="10"/>
        <rFont val="돋움"/>
        <family val="3"/>
        <charset val="129"/>
      </rPr>
      <t>경계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안쪽</t>
    </r>
    <r>
      <rPr>
        <sz val="10"/>
        <rFont val="Noto Sans CJK SC"/>
        <family val="2"/>
      </rPr>
      <t>(</t>
    </r>
    <r>
      <rPr>
        <sz val="10"/>
        <rFont val="돋움"/>
        <family val="3"/>
        <charset val="129"/>
      </rPr>
      <t>어제</t>
    </r>
    <r>
      <rPr>
        <sz val="10"/>
        <rFont val="Noto Sans CJK SC"/>
        <family val="2"/>
      </rPr>
      <t>+5</t>
    </r>
    <r>
      <rPr>
        <sz val="10"/>
        <rFont val="돋움"/>
        <family val="3"/>
        <charset val="129"/>
      </rPr>
      <t>분</t>
    </r>
    <r>
      <rPr>
        <sz val="10"/>
        <rFont val="Noto Sans CJK SC"/>
        <family val="2"/>
      </rPr>
      <t xml:space="preserve">)COMPLETED,
</t>
    </r>
    <r>
      <rPr>
        <sz val="10"/>
        <rFont val="돋움"/>
        <family val="3"/>
        <charset val="129"/>
      </rPr>
      <t>바깥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쪽</t>
    </r>
    <r>
      <rPr>
        <sz val="10"/>
        <rFont val="Noto Sans CJK SC"/>
        <family val="2"/>
      </rPr>
      <t>(</t>
    </r>
    <r>
      <rPr>
        <sz val="10"/>
        <rFont val="돋움"/>
        <family val="3"/>
        <charset val="129"/>
      </rPr>
      <t>어제</t>
    </r>
    <r>
      <rPr>
        <sz val="10"/>
        <rFont val="Noto Sans CJK SC"/>
        <family val="2"/>
      </rPr>
      <t>-5</t>
    </r>
    <r>
      <rPr>
        <sz val="10"/>
        <rFont val="돋움"/>
        <family val="3"/>
        <charset val="129"/>
      </rPr>
      <t>분</t>
    </r>
    <r>
      <rPr>
        <sz val="10"/>
        <rFont val="Noto Sans CJK SC"/>
        <family val="2"/>
      </rPr>
      <t xml:space="preserve">)READY </t>
    </r>
    <r>
      <rPr>
        <sz val="10"/>
        <rFont val="돋움"/>
        <family val="3"/>
        <charset val="129"/>
      </rPr>
      <t>유지</t>
    </r>
    <phoneticPr fontId="23" type="noConversion"/>
  </si>
  <si>
    <r>
      <rPr>
        <sz val="10"/>
        <rFont val="돋움"/>
        <family val="3"/>
        <charset val="129"/>
      </rPr>
      <t>연결되는</t>
    </r>
    <r>
      <rPr>
        <sz val="10"/>
        <rFont val="Noto Sans CJK SC"/>
        <family val="2"/>
      </rPr>
      <t xml:space="preserve"> pass</t>
    </r>
    <r>
      <rPr>
        <sz val="10"/>
        <rFont val="돋움"/>
        <family val="3"/>
        <charset val="129"/>
      </rPr>
      <t>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없는</t>
    </r>
    <r>
      <rPr>
        <sz val="10"/>
        <rFont val="Noto Sans CJK SC"/>
        <family val="2"/>
      </rPr>
      <t xml:space="preserve"> booking 0</t>
    </r>
    <r>
      <rPr>
        <sz val="10"/>
        <rFont val="돋움"/>
        <family val="3"/>
        <charset val="129"/>
      </rPr>
      <t>건</t>
    </r>
    <phoneticPr fontId="23" type="noConversion"/>
  </si>
  <si>
    <r>
      <rPr>
        <sz val="10"/>
        <rFont val="Noto Sans CJK SC"/>
        <family val="2"/>
      </rPr>
      <t>LoginService</t>
    </r>
    <r>
      <rPr>
        <sz val="10"/>
        <rFont val="돋움"/>
        <family val="3"/>
        <charset val="129"/>
      </rPr>
      <t>의</t>
    </r>
    <r>
      <rPr>
        <sz val="10"/>
        <rFont val="Noto Sans CJK SC"/>
        <family val="2"/>
      </rPr>
      <t xml:space="preserve"> </t>
    </r>
    <r>
      <rPr>
        <sz val="10"/>
        <rFont val="Malgun Gothic"/>
        <family val="3"/>
        <charset val="129"/>
      </rPr>
      <t xml:space="preserve">== "" </t>
    </r>
    <r>
      <rPr>
        <sz val="10"/>
        <rFont val="돋움"/>
        <family val="3"/>
        <charset val="129"/>
      </rPr>
      <t>비교로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빈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값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검사가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동작하지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않을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가능성</t>
    </r>
    <r>
      <rPr>
        <sz val="10"/>
        <rFont val="Noto Sans CJK SC"/>
        <family val="2"/>
      </rPr>
      <t xml:space="preserve"> </t>
    </r>
    <r>
      <rPr>
        <sz val="10"/>
        <rFont val="Malgun Gothic"/>
        <family val="3"/>
        <charset val="129"/>
      </rPr>
      <t>(</t>
    </r>
    <r>
      <rPr>
        <sz val="10"/>
        <rFont val="돋움"/>
        <family val="3"/>
        <charset val="129"/>
      </rPr>
      <t>코드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분석</t>
    </r>
    <r>
      <rPr>
        <sz val="10"/>
        <rFont val="Malgun Gothic"/>
        <family val="3"/>
        <charset val="129"/>
      </rPr>
      <t xml:space="preserve">)
</t>
    </r>
    <phoneticPr fontId="23" type="noConversion"/>
  </si>
  <si>
    <r>
      <t>200(OK), user 1</t>
    </r>
    <r>
      <rPr>
        <sz val="10"/>
        <rFont val="돋움"/>
        <family val="3"/>
        <charset val="129"/>
      </rPr>
      <t>행</t>
    </r>
    <phoneticPr fontId="23" type="noConversion"/>
  </si>
  <si>
    <r>
      <t>400(Bad Request), "</t>
    </r>
    <r>
      <rPr>
        <sz val="10"/>
        <rFont val="돋움"/>
        <family val="3"/>
        <charset val="129"/>
      </rPr>
      <t>입력이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안된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사항이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있습니다</t>
    </r>
    <r>
      <rPr>
        <sz val="10"/>
        <rFont val="Noto Sans CJK SC"/>
        <family val="2"/>
      </rPr>
      <t xml:space="preserve">.", </t>
    </r>
    <r>
      <rPr>
        <sz val="10"/>
        <rFont val="돋움"/>
        <family val="3"/>
        <charset val="129"/>
      </rPr>
      <t>저장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안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됨</t>
    </r>
    <phoneticPr fontId="23" type="noConversion"/>
  </si>
  <si>
    <r>
      <t>400(Bad Request), "</t>
    </r>
    <r>
      <rPr>
        <sz val="10"/>
        <rFont val="돋움"/>
        <family val="3"/>
        <charset val="129"/>
      </rPr>
      <t>입력이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안된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사항이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있습니다</t>
    </r>
    <r>
      <rPr>
        <sz val="10"/>
        <rFont val="Noto Sans CJK SC"/>
        <family val="2"/>
      </rPr>
      <t xml:space="preserve">.", </t>
    </r>
    <r>
      <rPr>
        <sz val="10"/>
        <rFont val="돋움"/>
        <family val="3"/>
        <charset val="129"/>
      </rPr>
      <t>저장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안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됨</t>
    </r>
    <phoneticPr fontId="23" type="noConversion"/>
  </si>
  <si>
    <r>
      <t>400(Bad Request), "</t>
    </r>
    <r>
      <rPr>
        <sz val="10"/>
        <rFont val="돋움"/>
        <family val="3"/>
        <charset val="129"/>
      </rPr>
      <t>이미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존재하는</t>
    </r>
    <r>
      <rPr>
        <sz val="10"/>
        <rFont val="Noto Sans CJK SC"/>
        <family val="2"/>
      </rPr>
      <t xml:space="preserve"> ID</t>
    </r>
    <r>
      <rPr>
        <sz val="10"/>
        <rFont val="돋움"/>
        <family val="3"/>
        <charset val="129"/>
      </rPr>
      <t>입니다</t>
    </r>
    <r>
      <rPr>
        <sz val="10"/>
        <rFont val="Noto Sans CJK SC"/>
        <family val="2"/>
      </rPr>
      <t xml:space="preserve">.", </t>
    </r>
    <r>
      <rPr>
        <sz val="10"/>
        <rFont val="돋움"/>
        <family val="3"/>
        <charset val="129"/>
      </rPr>
      <t>행</t>
    </r>
    <r>
      <rPr>
        <sz val="10"/>
        <rFont val="Noto Sans CJK SC"/>
        <family val="2"/>
      </rPr>
      <t xml:space="preserve"> 1</t>
    </r>
    <r>
      <rPr>
        <sz val="10"/>
        <rFont val="돋움"/>
        <family val="3"/>
        <charset val="129"/>
      </rPr>
      <t>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유지</t>
    </r>
    <phoneticPr fontId="23" type="noConversion"/>
  </si>
  <si>
    <r>
      <t>400, id_error "</t>
    </r>
    <r>
      <rPr>
        <sz val="10"/>
        <rFont val="돋움"/>
        <family val="3"/>
        <charset val="129"/>
      </rPr>
      <t>아이디는</t>
    </r>
    <r>
      <rPr>
        <sz val="10"/>
        <rFont val="Noto Sans CJK SC"/>
        <family val="2"/>
      </rPr>
      <t xml:space="preserve"> </t>
    </r>
    <r>
      <rPr>
        <sz val="10"/>
        <rFont val="Malgun Gothic"/>
        <family val="3"/>
        <charset val="129"/>
      </rPr>
      <t xml:space="preserve">5~20 </t>
    </r>
    <r>
      <rPr>
        <sz val="10"/>
        <rFont val="돋움"/>
        <family val="3"/>
        <charset val="129"/>
      </rPr>
      <t>자리로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입력해주세요</t>
    </r>
    <r>
      <rPr>
        <sz val="10"/>
        <rFont val="Malgun Gothic"/>
        <family val="3"/>
        <charset val="129"/>
      </rPr>
      <t>."</t>
    </r>
    <phoneticPr fontId="23" type="noConversion"/>
  </si>
  <si>
    <r>
      <t>200(OK), ID 20</t>
    </r>
    <r>
      <rPr>
        <sz val="10"/>
        <rFont val="돋움"/>
        <family val="3"/>
        <charset val="129"/>
      </rPr>
      <t>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가입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승인</t>
    </r>
    <phoneticPr fontId="23" type="noConversion"/>
  </si>
  <si>
    <r>
      <t>200(OK), ID 5</t>
    </r>
    <r>
      <rPr>
        <sz val="10"/>
        <rFont val="돋움"/>
        <family val="3"/>
        <charset val="129"/>
      </rPr>
      <t>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가입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승인</t>
    </r>
    <phoneticPr fontId="23" type="noConversion"/>
  </si>
  <si>
    <r>
      <t>400(Bad Request), ID 4</t>
    </r>
    <r>
      <rPr>
        <sz val="10"/>
        <rFont val="돋움"/>
        <family val="3"/>
        <charset val="129"/>
      </rPr>
      <t>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거부</t>
    </r>
    <r>
      <rPr>
        <sz val="10"/>
        <rFont val="Noto Sans CJK SC"/>
        <family val="2"/>
      </rPr>
      <t>(id_error)</t>
    </r>
    <phoneticPr fontId="23" type="noConversion"/>
  </si>
  <si>
    <r>
      <t>400(Bad Request), ID 21</t>
    </r>
    <r>
      <rPr>
        <sz val="10"/>
        <rFont val="돋움"/>
        <family val="3"/>
        <charset val="129"/>
      </rPr>
      <t>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거부</t>
    </r>
    <r>
      <rPr>
        <sz val="10"/>
        <rFont val="Noto Sans CJK SC"/>
        <family val="2"/>
      </rPr>
      <t>(id_error)</t>
    </r>
    <phoneticPr fontId="23" type="noConversion"/>
  </si>
  <si>
    <r>
      <t>400(Bad Request), Password 7</t>
    </r>
    <r>
      <rPr>
        <sz val="10"/>
        <rFont val="돋움"/>
        <family val="3"/>
        <charset val="129"/>
      </rPr>
      <t>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거부</t>
    </r>
    <r>
      <rPr>
        <sz val="10"/>
        <rFont val="Noto Sans CJK SC"/>
        <family val="2"/>
      </rPr>
      <t>(pw_error)</t>
    </r>
    <phoneticPr fontId="23" type="noConversion"/>
  </si>
  <si>
    <r>
      <t>200(OK), Password 8</t>
    </r>
    <r>
      <rPr>
        <sz val="10"/>
        <rFont val="돋움"/>
        <family val="3"/>
        <charset val="129"/>
      </rPr>
      <t>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가입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성공</t>
    </r>
    <r>
      <rPr>
        <sz val="10"/>
        <rFont val="Noto Sans CJK SC"/>
        <family val="2"/>
      </rPr>
      <t xml:space="preserve"> </t>
    </r>
    <phoneticPr fontId="23" type="noConversion"/>
  </si>
  <si>
    <r>
      <t xml:space="preserve">400(Bad Request), Password </t>
    </r>
    <r>
      <rPr>
        <sz val="10"/>
        <rFont val="돋움"/>
        <family val="3"/>
        <charset val="129"/>
      </rPr>
      <t>특수문자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누락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거부</t>
    </r>
    <r>
      <rPr>
        <sz val="10"/>
        <rFont val="Noto Sans CJK SC"/>
        <family val="2"/>
      </rPr>
      <t>(pw_error)</t>
    </r>
    <phoneticPr fontId="23" type="noConversion"/>
  </si>
  <si>
    <r>
      <rPr>
        <sz val="10"/>
        <rFont val="돋움"/>
        <family val="3"/>
        <charset val="129"/>
      </rPr>
      <t>앞</t>
    </r>
    <r>
      <rPr>
        <sz val="10"/>
        <rFont val="Noto Sans CJK SC"/>
        <family val="2"/>
      </rPr>
      <t xml:space="preserve"> 72</t>
    </r>
    <r>
      <rPr>
        <sz val="10"/>
        <rFont val="돋움"/>
        <family val="3"/>
        <charset val="129"/>
      </rPr>
      <t>자가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같고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뒤가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다른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비밀번호로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로그인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성공</t>
    </r>
    <phoneticPr fontId="23" type="noConversion"/>
  </si>
  <si>
    <r>
      <t>400(Bad Request), "</t>
    </r>
    <r>
      <rPr>
        <sz val="10"/>
        <rFont val="돋움"/>
        <family val="3"/>
        <charset val="129"/>
      </rPr>
      <t>존재하지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안흔</t>
    </r>
    <r>
      <rPr>
        <sz val="10"/>
        <rFont val="Noto Sans CJK SC"/>
        <family val="2"/>
      </rPr>
      <t xml:space="preserve"> ID</t>
    </r>
    <r>
      <rPr>
        <sz val="10"/>
        <rFont val="돋움"/>
        <family val="3"/>
        <charset val="129"/>
      </rPr>
      <t>입니다</t>
    </r>
    <r>
      <rPr>
        <sz val="10"/>
        <rFont val="Noto Sans CJK SC"/>
        <family val="2"/>
      </rPr>
      <t>"</t>
    </r>
    <phoneticPr fontId="23" type="noConversion"/>
  </si>
  <si>
    <t xml:space="preserve">Selenium + PyMySQL  (test._batch.py) </t>
    <phoneticPr fontId="23" type="noConversion"/>
  </si>
  <si>
    <t>Selenium + PyMySQL (test_login_success_status)</t>
    <phoneticPr fontId="23" type="noConversion"/>
  </si>
  <si>
    <t>Selenium + PyMySQL (test_login_response_has_no_password)</t>
    <phoneticPr fontId="23" type="noConversion"/>
  </si>
  <si>
    <t>Selenium + PyMySQL (test_login_wrong_password)</t>
    <phoneticPr fontId="23" type="noConversion"/>
  </si>
  <si>
    <t>Selenium + PyMySQL  (test_api_1.py)</t>
    <phoneticPr fontId="23" type="noConversion"/>
  </si>
  <si>
    <t>Selenium + PyMySQL (test_stored_password_is_bcrypt_hash)</t>
    <phoneticPr fontId="23" type="noConversion"/>
  </si>
  <si>
    <r>
      <t>"</t>
    </r>
    <r>
      <rPr>
        <sz val="10"/>
        <rFont val="돋움"/>
        <family val="3"/>
        <charset val="129"/>
      </rPr>
      <t>존재하지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않는</t>
    </r>
    <r>
      <rPr>
        <sz val="10"/>
        <rFont val="Noto Sans CJK SC"/>
        <family val="2"/>
      </rPr>
      <t xml:space="preserve"> ID</t>
    </r>
    <r>
      <rPr>
        <sz val="10"/>
        <rFont val="돋움"/>
        <family val="3"/>
        <charset val="129"/>
      </rPr>
      <t>입니다</t>
    </r>
    <r>
      <rPr>
        <sz val="10"/>
        <rFont val="Noto Sans CJK SC"/>
        <family val="2"/>
      </rPr>
      <t>"</t>
    </r>
    <phoneticPr fontId="23" type="noConversion"/>
  </si>
  <si>
    <r>
      <t>"</t>
    </r>
    <r>
      <rPr>
        <sz val="10"/>
        <rFont val="돋움"/>
        <family val="3"/>
        <charset val="129"/>
      </rPr>
      <t>비밀번호가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일치하지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않습니다</t>
    </r>
    <r>
      <rPr>
        <sz val="10"/>
        <rFont val="Noto Sans CJK SC"/>
        <family val="2"/>
      </rPr>
      <t>"</t>
    </r>
    <phoneticPr fontId="23" type="noConversion"/>
  </si>
  <si>
    <r>
      <t xml:space="preserve">Enter </t>
    </r>
    <r>
      <rPr>
        <sz val="10"/>
        <rFont val="돋움"/>
        <family val="3"/>
        <charset val="129"/>
      </rPr>
      <t>제출로</t>
    </r>
    <r>
      <rPr>
        <sz val="10"/>
        <rFont val="Noto Sans CJK SC"/>
        <family val="2"/>
      </rPr>
      <t xml:space="preserve"> /passes</t>
    </r>
    <r>
      <rPr>
        <sz val="10"/>
        <rFont val="돋움"/>
        <family val="3"/>
        <charset val="129"/>
      </rPr>
      <t>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이동</t>
    </r>
    <phoneticPr fontId="23" type="noConversion"/>
  </si>
  <si>
    <r>
      <rPr>
        <sz val="10"/>
        <rFont val="돋움"/>
        <family val="3"/>
        <charset val="129"/>
      </rPr>
      <t>로그아웃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후</t>
    </r>
    <r>
      <rPr>
        <sz val="10"/>
        <rFont val="Noto Sans CJK SC"/>
        <family val="2"/>
      </rPr>
      <t xml:space="preserve"> /login</t>
    </r>
    <r>
      <rPr>
        <sz val="10"/>
        <rFont val="돋움"/>
        <family val="3"/>
        <charset val="129"/>
      </rPr>
      <t>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이동</t>
    </r>
    <r>
      <rPr>
        <sz val="10"/>
        <rFont val="Noto Sans CJK SC"/>
        <family val="2"/>
      </rPr>
      <t xml:space="preserve">, /passes </t>
    </r>
    <r>
      <rPr>
        <sz val="10"/>
        <rFont val="돋움"/>
        <family val="3"/>
        <charset val="129"/>
      </rPr>
      <t>재접속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로그인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상태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아님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23" type="noConversion"/>
  </si>
  <si>
    <r>
      <t xml:space="preserve"> OR '1'='1 </t>
    </r>
    <r>
      <rPr>
        <sz val="10"/>
        <rFont val="돋움"/>
        <family val="3"/>
        <charset val="129"/>
      </rPr>
      <t>입력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시</t>
    </r>
    <r>
      <rPr>
        <sz val="10"/>
        <rFont val="Noto Sans CJK SC"/>
        <family val="2"/>
      </rPr>
      <t xml:space="preserve"> "</t>
    </r>
    <r>
      <rPr>
        <sz val="10"/>
        <rFont val="돋움"/>
        <family val="3"/>
        <charset val="129"/>
      </rPr>
      <t>존재하지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않는</t>
    </r>
    <r>
      <rPr>
        <sz val="10"/>
        <rFont val="Noto Sans CJK SC"/>
        <family val="2"/>
      </rPr>
      <t xml:space="preserve"> ID</t>
    </r>
    <r>
      <rPr>
        <sz val="10"/>
        <rFont val="돋움"/>
        <family val="3"/>
        <charset val="129"/>
      </rPr>
      <t>입니다</t>
    </r>
    <r>
      <rPr>
        <sz val="10"/>
        <rFont val="Noto Sans CJK SC"/>
        <family val="2"/>
      </rPr>
      <t>"</t>
    </r>
    <r>
      <rPr>
        <sz val="10"/>
        <rFont val="돋움"/>
        <family val="3"/>
        <charset val="129"/>
      </rPr>
      <t>알림</t>
    </r>
    <r>
      <rPr>
        <sz val="10"/>
        <rFont val="Noto Sans CJK SC"/>
        <family val="2"/>
      </rPr>
      <t xml:space="preserve">, </t>
    </r>
    <r>
      <rPr>
        <sz val="10"/>
        <rFont val="돋움"/>
        <family val="3"/>
        <charset val="129"/>
      </rPr>
      <t>우회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불가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23" type="noConversion"/>
  </si>
  <si>
    <t>Selenium + PyMySQL (test_join_stores_hashed_password)</t>
    <phoneticPr fontId="23" type="noConversion"/>
  </si>
  <si>
    <t>Selenium + PyMySQL  (test_join_api.py)</t>
    <phoneticPr fontId="23" type="noConversion"/>
  </si>
  <si>
    <r>
      <rPr>
        <sz val="10"/>
        <rFont val="Noto Sans CJK SC"/>
        <family val="2"/>
      </rPr>
      <t xml:space="preserve">Selenium + PyMySQL </t>
    </r>
    <r>
      <rPr>
        <sz val="10"/>
        <rFont val="Malgun Gothic"/>
        <family val="3"/>
        <charset val="129"/>
      </rPr>
      <t xml:space="preserve"> (test_api_2.py) + </t>
    </r>
    <r>
      <rPr>
        <sz val="10"/>
        <rFont val="돋움"/>
        <family val="3"/>
        <charset val="129"/>
      </rPr>
      <t>코드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분석</t>
    </r>
    <phoneticPr fontId="23" type="noConversion"/>
  </si>
  <si>
    <t>대소문자 구분없이 로그인 성공</t>
    <phoneticPr fontId="23" type="noConversion"/>
  </si>
  <si>
    <t>JN-15</t>
    <phoneticPr fontId="23" type="noConversion"/>
  </si>
  <si>
    <r>
      <rPr>
        <sz val="10"/>
        <rFont val="돋움"/>
        <family val="3"/>
        <charset val="129"/>
      </rPr>
      <t>회원가입</t>
    </r>
    <r>
      <rPr>
        <sz val="10"/>
        <rFont val="Noto Sans CJK SC"/>
        <family val="2"/>
      </rPr>
      <t xml:space="preserve"> </t>
    </r>
    <r>
      <rPr>
        <sz val="10"/>
        <rFont val="Malgun Gothic"/>
        <family val="3"/>
        <charset val="129"/>
      </rPr>
      <t>API</t>
    </r>
    <phoneticPr fontId="23" type="noConversion"/>
  </si>
  <si>
    <r>
      <rPr>
        <sz val="10"/>
        <rFont val="돋움"/>
        <family val="3"/>
        <charset val="129"/>
      </rPr>
      <t>회원가입</t>
    </r>
    <r>
      <rPr>
        <sz val="10"/>
        <rFont val="Noto Sans CJK SC"/>
        <family val="2"/>
      </rPr>
      <t xml:space="preserve"> API</t>
    </r>
    <phoneticPr fontId="23" type="noConversion"/>
  </si>
  <si>
    <t>대소문자만 다른 ID로 중복 가입</t>
    <phoneticPr fontId="23" type="noConversion"/>
  </si>
  <si>
    <t>네거티브</t>
    <phoneticPr fontId="23" type="noConversion"/>
  </si>
  <si>
    <t>Medium</t>
    <phoneticPr fontId="23" type="noConversion"/>
  </si>
  <si>
    <r>
      <rPr>
        <sz val="10"/>
        <rFont val="돋움"/>
        <family val="3"/>
        <charset val="129"/>
      </rPr>
      <t>가입된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아이디를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대문자로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바꾼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값</t>
    </r>
    <phoneticPr fontId="23" type="noConversion"/>
  </si>
  <si>
    <r>
      <t>1. 73</t>
    </r>
    <r>
      <rPr>
        <sz val="10"/>
        <rFont val="돋움"/>
        <family val="3"/>
        <charset val="129"/>
      </rPr>
      <t>바이트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이상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비밀번호로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 xml:space="preserve">가입
</t>
    </r>
    <r>
      <rPr>
        <sz val="10"/>
        <rFont val="Malgun Gothic"/>
        <family val="3"/>
        <charset val="129"/>
      </rPr>
      <t xml:space="preserve">2. </t>
    </r>
    <r>
      <rPr>
        <sz val="10"/>
        <rFont val="돋움"/>
        <family val="3"/>
        <charset val="129"/>
      </rPr>
      <t>앞</t>
    </r>
    <r>
      <rPr>
        <sz val="10"/>
        <rFont val="Noto Sans CJK SC"/>
        <family val="2"/>
      </rPr>
      <t xml:space="preserve"> </t>
    </r>
    <r>
      <rPr>
        <sz val="10"/>
        <rFont val="Malgun Gothic"/>
        <family val="3"/>
        <charset val="129"/>
      </rPr>
      <t>72</t>
    </r>
    <r>
      <rPr>
        <sz val="10"/>
        <rFont val="돋움"/>
        <family val="3"/>
        <charset val="129"/>
      </rPr>
      <t>바이트는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같고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뒷부분만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다른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비밀번호로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로그인</t>
    </r>
    <phoneticPr fontId="23" type="noConversion"/>
  </si>
  <si>
    <t>1. 소문자 아이디로 가입
2. 같은 아이디를 대문자로 바꿔 다시 가입
3. 응답 확인</t>
    <phoneticPr fontId="23" type="noConversion"/>
  </si>
  <si>
    <r>
      <t>400, "</t>
    </r>
    <r>
      <rPr>
        <sz val="10"/>
        <rFont val="돋움"/>
        <family val="3"/>
        <charset val="129"/>
      </rPr>
      <t>이미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존재하는</t>
    </r>
    <r>
      <rPr>
        <sz val="10"/>
        <rFont val="Noto Sans CJK SC"/>
        <family val="2"/>
      </rPr>
      <t xml:space="preserve"> ID</t>
    </r>
    <r>
      <rPr>
        <sz val="10"/>
        <rFont val="돋움"/>
        <family val="3"/>
        <charset val="129"/>
      </rPr>
      <t>입니다</t>
    </r>
    <r>
      <rPr>
        <sz val="10"/>
        <rFont val="Noto Sans CJK SC"/>
        <family val="2"/>
      </rPr>
      <t>"</t>
    </r>
    <phoneticPr fontId="23" type="noConversion"/>
  </si>
  <si>
    <t>Selenium + PyMySQL (test_join.api.py)</t>
    <phoneticPr fontId="23" type="noConversion"/>
  </si>
  <si>
    <t>-</t>
    <phoneticPr fontId="23" type="noConversion"/>
  </si>
  <si>
    <r>
      <t>L-09</t>
    </r>
    <r>
      <rPr>
        <sz val="10"/>
        <rFont val="돋움"/>
        <family val="3"/>
        <charset val="129"/>
      </rPr>
      <t>결과</t>
    </r>
    <r>
      <rPr>
        <sz val="10"/>
        <rFont val="Noto Sans CJK SC"/>
        <family val="2"/>
      </rPr>
      <t xml:space="preserve">, DB </t>
    </r>
    <r>
      <rPr>
        <sz val="10"/>
        <rFont val="돋움"/>
        <family val="3"/>
        <charset val="129"/>
      </rPr>
      <t>기본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설정</t>
    </r>
    <phoneticPr fontId="23" type="noConversion"/>
  </si>
  <si>
    <r>
      <rPr>
        <sz val="10"/>
        <rFont val="돋움"/>
        <family val="3"/>
        <charset val="129"/>
      </rPr>
      <t>대문자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아이디로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로그인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성공</t>
    </r>
    <phoneticPr fontId="23" type="noConversion"/>
  </si>
  <si>
    <r>
      <rPr>
        <sz val="10"/>
        <rFont val="돋움"/>
        <family val="3"/>
        <charset val="129"/>
      </rPr>
      <t>대문자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아이디로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가입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시</t>
    </r>
    <r>
      <rPr>
        <sz val="10"/>
        <rFont val="Noto Sans CJK SC"/>
        <family val="2"/>
      </rPr>
      <t xml:space="preserve"> 400, "</t>
    </r>
    <r>
      <rPr>
        <sz val="10"/>
        <rFont val="돋움"/>
        <family val="3"/>
        <charset val="129"/>
      </rPr>
      <t>이미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존재하는</t>
    </r>
    <r>
      <rPr>
        <sz val="10"/>
        <rFont val="Noto Sans CJK SC"/>
        <family val="2"/>
      </rPr>
      <t xml:space="preserve"> ID</t>
    </r>
    <r>
      <rPr>
        <sz val="10"/>
        <rFont val="돋움"/>
        <family val="3"/>
        <charset val="129"/>
      </rPr>
      <t>입니다</t>
    </r>
    <r>
      <rPr>
        <sz val="10"/>
        <rFont val="Noto Sans CJK SC"/>
        <family val="2"/>
      </rPr>
      <t>."</t>
    </r>
    <phoneticPr fontId="23" type="noConversion"/>
  </si>
  <si>
    <t>Selenium + PyMySQL (test_login_ui.py)</t>
    <phoneticPr fontId="23" type="noConversion"/>
  </si>
  <si>
    <r>
      <t xml:space="preserve">/admin?to=2022-09-10 </t>
    </r>
    <r>
      <rPr>
        <sz val="10"/>
        <rFont val="돋움"/>
        <family val="3"/>
        <charset val="129"/>
      </rPr>
      <t>접속</t>
    </r>
    <phoneticPr fontId="23" type="noConversion"/>
  </si>
  <si>
    <r>
      <rPr>
        <sz val="10"/>
        <rFont val="돋움"/>
        <family val="3"/>
        <charset val="129"/>
      </rPr>
      <t>지정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날짜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기준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통계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표시</t>
    </r>
    <phoneticPr fontId="23" type="noConversion"/>
  </si>
  <si>
    <r>
      <t>"</t>
    </r>
    <r>
      <rPr>
        <sz val="10"/>
        <rFont val="돋움"/>
        <family val="3"/>
        <charset val="129"/>
      </rPr>
      <t>올바른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날짜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형식을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입력해주세요</t>
    </r>
    <r>
      <rPr>
        <sz val="10"/>
        <rFont val="Noto Sans CJK SC"/>
        <family val="2"/>
      </rPr>
      <t>. (</t>
    </r>
    <r>
      <rPr>
        <sz val="10"/>
        <rFont val="돋움"/>
        <family val="3"/>
        <charset val="129"/>
      </rPr>
      <t>예</t>
    </r>
    <r>
      <rPr>
        <sz val="10"/>
        <rFont val="Noto Sans CJK SC"/>
        <family val="2"/>
      </rPr>
      <t xml:space="preserve">: 2022-09-01 00:00)", </t>
    </r>
    <r>
      <rPr>
        <sz val="10"/>
        <rFont val="돋움"/>
        <family val="3"/>
        <charset val="129"/>
      </rPr>
      <t>제출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중단</t>
    </r>
    <phoneticPr fontId="23" type="noConversion"/>
  </si>
  <si>
    <r>
      <rPr>
        <sz val="10"/>
        <rFont val="돋움"/>
        <family val="3"/>
        <charset val="129"/>
      </rPr>
      <t>수동</t>
    </r>
    <r>
      <rPr>
        <sz val="10"/>
        <rFont val="Noto Sans CJK SC"/>
        <family val="2"/>
      </rPr>
      <t xml:space="preserve"> (</t>
    </r>
    <r>
      <rPr>
        <sz val="10"/>
        <rFont val="돋움"/>
        <family val="3"/>
        <charset val="129"/>
      </rPr>
      <t>브라우저</t>
    </r>
    <r>
      <rPr>
        <sz val="10"/>
        <rFont val="Noto Sans CJK SC"/>
        <family val="2"/>
      </rPr>
      <t>)</t>
    </r>
    <phoneticPr fontId="23" type="noConversion"/>
  </si>
  <si>
    <t>Selenium + PyMySQL (test_admin.py)</t>
    <phoneticPr fontId="23" type="noConversion"/>
  </si>
  <si>
    <r>
      <rPr>
        <sz val="10"/>
        <rFont val="돋움"/>
        <family val="3"/>
        <charset val="129"/>
      </rPr>
      <t>예약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기능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설계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없음</t>
    </r>
    <phoneticPr fontId="23" type="noConversion"/>
  </si>
  <si>
    <r>
      <rPr>
        <sz val="10"/>
        <rFont val="돋움"/>
        <family val="3"/>
        <charset val="129"/>
      </rPr>
      <t>예약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기능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설계</t>
    </r>
    <r>
      <rPr>
        <sz val="10"/>
        <rFont val="Noto Sans CJK SC"/>
        <family val="2"/>
      </rPr>
      <t xml:space="preserve"> </t>
    </r>
    <r>
      <rPr>
        <sz val="10"/>
        <rFont val="돋움"/>
        <family val="3"/>
        <charset val="129"/>
      </rPr>
      <t>없음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</si>
</sst>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25">
    <font>
      <sz val="11"/>
      <color theme="1"/>
      <name val="Calibri"/>
      <family val="2"/>
      <charset val="1"/>
    </font>
    <font>
      <b/>
      <sz val="16"/>
      <color rgb="FF1F4E79"/>
      <name val="Malgun Gothic"/>
      <family val="3"/>
      <charset val="129"/>
    </font>
    <font>
      <b/>
      <sz val="16"/>
      <color rgb="FF1F4E79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Malgun Gothic"/>
      <family val="3"/>
      <charset val="129"/>
    </font>
    <font>
      <b/>
      <sz val="10"/>
      <color rgb="FFFFFFFF"/>
      <name val="Noto Sans CJK SC"/>
      <family val="2"/>
    </font>
    <font>
      <b/>
      <sz val="10"/>
      <color rgb="FFFFFFFF"/>
      <name val="Malgun Gothic"/>
      <family val="3"/>
      <charset val="129"/>
    </font>
    <font>
      <sz val="10"/>
      <name val="Noto Sans CJK SC"/>
      <family val="2"/>
    </font>
    <font>
      <sz val="10"/>
      <name val="Malgun Gothic"/>
      <family val="3"/>
      <charset val="129"/>
    </font>
    <font>
      <b/>
      <sz val="10"/>
      <name val="Noto Sans CJK SC"/>
      <family val="2"/>
    </font>
    <font>
      <b/>
      <sz val="10"/>
      <name val="Malgun Gothic"/>
      <family val="3"/>
      <charset val="129"/>
    </font>
    <font>
      <b/>
      <sz val="11"/>
      <color rgb="FF1F4E79"/>
      <name val="Noto Sans CJK SC"/>
      <family val="2"/>
    </font>
    <font>
      <sz val="9"/>
      <name val="Noto Sans CJK SC"/>
      <family val="2"/>
    </font>
    <font>
      <sz val="9"/>
      <name val="Malgun Gothic"/>
      <family val="3"/>
      <charset val="129"/>
    </font>
    <font>
      <sz val="9"/>
      <color rgb="FF000000"/>
      <name val="Noto Sans CJK SC"/>
    </font>
    <font>
      <sz val="9"/>
      <color rgb="FF000000"/>
      <name val="Malgun Gothic"/>
      <family val="3"/>
      <charset val="129"/>
    </font>
    <font>
      <sz val="9"/>
      <color rgb="FF000000"/>
      <name val="Noto Sans CJK SC"/>
      <family val="2"/>
    </font>
    <font>
      <sz val="9"/>
      <color rgb="FF000000"/>
      <name val="Noto Sans CJK SC"/>
      <charset val="1"/>
    </font>
    <font>
      <sz val="10"/>
      <color rgb="FF000000"/>
      <name val="Noto Sans CJK SC"/>
    </font>
    <font>
      <sz val="10"/>
      <color rgb="FF000000"/>
      <name val="Malgun Gothic"/>
      <family val="3"/>
      <charset val="129"/>
    </font>
    <font>
      <sz val="10"/>
      <color rgb="FF000000"/>
      <name val="Noto Sans CJK SC"/>
      <family val="2"/>
    </font>
    <font>
      <sz val="11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EDEDED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rgb="FF00336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176" fontId="10" fillId="3" borderId="1" xfId="0" applyNumberFormat="1" applyFont="1" applyFill="1" applyBorder="1" applyAlignment="1">
      <alignment horizontal="center"/>
    </xf>
    <xf numFmtId="0" fontId="11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7" fillId="0" borderId="0" xfId="0" applyFont="1"/>
    <xf numFmtId="0" fontId="20" fillId="0" borderId="1" xfId="0" applyFont="1" applyBorder="1" applyAlignment="1">
      <alignment horizontal="left" vertical="top" wrapText="1"/>
    </xf>
    <xf numFmtId="0" fontId="21" fillId="4" borderId="0" xfId="0" applyFont="1" applyFill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21" fillId="4" borderId="2" xfId="0" applyFont="1" applyFill="1" applyBorder="1" applyAlignment="1">
      <alignment horizontal="center"/>
    </xf>
    <xf numFmtId="0" fontId="22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3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7" fillId="0" borderId="1" xfId="0" quotePrefix="1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</cellXfs>
  <cellStyles count="1">
    <cellStyle name="표준" xfId="0" builtinId="0"/>
  </cellStyles>
  <dxfs count="4">
    <dxf>
      <fill>
        <patternFill>
          <bgColor rgb="FFFFEB9C"/>
        </patternFill>
      </fill>
    </dxf>
    <dxf>
      <fill>
        <patternFill>
          <bgColor rgb="FFEDEDED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showGridLines="0" zoomScaleNormal="100" workbookViewId="0">
      <selection activeCell="I25" sqref="I25"/>
    </sheetView>
  </sheetViews>
  <sheetFormatPr defaultColWidth="8.7109375" defaultRowHeight="15"/>
  <cols>
    <col min="1" max="1" width="18" customWidth="1"/>
    <col min="2" max="7" width="11" customWidth="1"/>
    <col min="11" max="11" width="25.85546875" customWidth="1"/>
    <col min="12" max="12" width="28.140625" customWidth="1"/>
    <col min="13" max="13" width="69.42578125" customWidth="1"/>
  </cols>
  <sheetData>
    <row r="1" spans="1:14" ht="26.25">
      <c r="A1" s="4" t="s">
        <v>0</v>
      </c>
    </row>
    <row r="2" spans="1:14">
      <c r="A2" s="5" t="s">
        <v>1</v>
      </c>
    </row>
    <row r="4" spans="1:14">
      <c r="A4" s="3" t="s">
        <v>2</v>
      </c>
      <c r="B4" s="3" t="s">
        <v>3</v>
      </c>
      <c r="C4" s="6" t="s">
        <v>4</v>
      </c>
      <c r="D4" s="6" t="s">
        <v>5</v>
      </c>
      <c r="E4" s="3" t="s">
        <v>6</v>
      </c>
      <c r="F4" s="6" t="s">
        <v>7</v>
      </c>
      <c r="G4" s="3" t="s">
        <v>8</v>
      </c>
      <c r="J4" s="21" t="s">
        <v>9</v>
      </c>
      <c r="K4" s="21" t="s">
        <v>10</v>
      </c>
      <c r="L4" s="21" t="s">
        <v>11</v>
      </c>
      <c r="M4" s="21" t="s">
        <v>12</v>
      </c>
      <c r="N4" s="21" t="s">
        <v>13</v>
      </c>
    </row>
    <row r="5" spans="1:14">
      <c r="A5" s="2" t="s">
        <v>14</v>
      </c>
      <c r="B5" s="7">
        <f>COUNTIF('테스트 케이스'!$B$2:$B$66,A5)</f>
        <v>9</v>
      </c>
      <c r="C5" s="7">
        <f>COUNTIFS('테스트 케이스'!$B$2:$B$66,$A5,'테스트 케이스'!$K$2:$K$66,"Pass")</f>
        <v>3</v>
      </c>
      <c r="D5" s="7">
        <f>COUNTIFS('테스트 케이스'!$B$2:$B$66,$A5,'테스트 케이스'!$K$2:$K$66,"Fail")</f>
        <v>6</v>
      </c>
      <c r="E5" s="7">
        <f>COUNTIFS('테스트 케이스'!$B$2:$B$66,$A5,'테스트 케이스'!$K$2:$K$66,"미수행")</f>
        <v>0</v>
      </c>
      <c r="F5" s="7">
        <f>COUNTIFS('테스트 케이스'!$B$2:$B$66,$A5,'테스트 케이스'!$K$2:$K$66,"Blocked")</f>
        <v>0</v>
      </c>
      <c r="G5" s="8">
        <f t="shared" ref="G5:G14" si="0">IF(B5=0,0,(C5+D5+F5)/B5)</f>
        <v>1</v>
      </c>
      <c r="J5" s="23" t="s">
        <v>15</v>
      </c>
      <c r="K5" s="23" t="s">
        <v>16</v>
      </c>
      <c r="L5" s="27" t="s">
        <v>17</v>
      </c>
      <c r="M5" s="22" t="s">
        <v>18</v>
      </c>
      <c r="N5" s="28">
        <v>9</v>
      </c>
    </row>
    <row r="6" spans="1:14">
      <c r="A6" s="2" t="s">
        <v>19</v>
      </c>
      <c r="B6" s="7">
        <f>COUNTIF('테스트 케이스'!$B$2:$B$66,A6)</f>
        <v>15</v>
      </c>
      <c r="C6" s="7">
        <f>COUNTIFS('테스트 케이스'!$B$2:$B$66,$A6,'테스트 케이스'!$K$2:$K$66,"Pass")</f>
        <v>13</v>
      </c>
      <c r="D6" s="7">
        <f>COUNTIFS('테스트 케이스'!$B$2:$B$66,$A6,'테스트 케이스'!$K$2:$K$66,"Fail")</f>
        <v>2</v>
      </c>
      <c r="E6" s="7">
        <f>COUNTIFS('테스트 케이스'!$B$2:$B$66,$A6,'테스트 케이스'!$K$2:$K$66,"미수행")</f>
        <v>0</v>
      </c>
      <c r="F6" s="7">
        <f>COUNTIFS('테스트 케이스'!$B$2:$B$66,$A6,'테스트 케이스'!$K$2:$K$66,"Blocked")</f>
        <v>0</v>
      </c>
      <c r="G6" s="8">
        <f t="shared" si="0"/>
        <v>1</v>
      </c>
      <c r="J6" s="23" t="s">
        <v>20</v>
      </c>
      <c r="K6" s="23" t="s">
        <v>21</v>
      </c>
      <c r="L6" s="23" t="s">
        <v>22</v>
      </c>
      <c r="M6" s="29" t="s">
        <v>23</v>
      </c>
      <c r="N6" s="23">
        <v>15</v>
      </c>
    </row>
    <row r="7" spans="1:14">
      <c r="A7" s="2" t="s">
        <v>24</v>
      </c>
      <c r="B7" s="7">
        <f>COUNTIF('테스트 케이스'!$B$2:$B$66,A7)</f>
        <v>12</v>
      </c>
      <c r="C7" s="7">
        <f>COUNTIFS('테스트 케이스'!$B$2:$B$66,$A7,'테스트 케이스'!$K$2:$K$66,"Pass")</f>
        <v>12</v>
      </c>
      <c r="D7" s="7">
        <f>COUNTIFS('테스트 케이스'!$B$2:$B$66,$A7,'테스트 케이스'!$K$2:$K$66,"Fail")</f>
        <v>0</v>
      </c>
      <c r="E7" s="7">
        <f>COUNTIFS('테스트 케이스'!$B$2:$B$66,$A7,'테스트 케이스'!$K$2:$K$66,"미수행")</f>
        <v>0</v>
      </c>
      <c r="F7" s="7">
        <f>COUNTIFS('테스트 케이스'!$B$2:$B$66,$A7,'테스트 케이스'!$K$2:$K$66,"Blocked")</f>
        <v>0</v>
      </c>
      <c r="G7" s="8">
        <f t="shared" si="0"/>
        <v>1</v>
      </c>
      <c r="J7" s="23" t="s">
        <v>25</v>
      </c>
      <c r="K7" s="23" t="s">
        <v>26</v>
      </c>
      <c r="L7" s="23" t="s">
        <v>27</v>
      </c>
      <c r="M7" s="22" t="s">
        <v>28</v>
      </c>
      <c r="N7" s="23">
        <v>12</v>
      </c>
    </row>
    <row r="8" spans="1:14">
      <c r="A8" s="2" t="s">
        <v>29</v>
      </c>
      <c r="B8" s="7">
        <f>COUNTIF('테스트 케이스'!$B$2:$B$66,A8)</f>
        <v>4</v>
      </c>
      <c r="C8" s="7">
        <f>COUNTIFS('테스트 케이스'!$B$2:$B$66,$A8,'테스트 케이스'!$K$2:$K$66,"Pass")</f>
        <v>4</v>
      </c>
      <c r="D8" s="7">
        <f>COUNTIFS('테스트 케이스'!$B$2:$B$66,$A8,'테스트 케이스'!$K$2:$K$66,"Fail")</f>
        <v>0</v>
      </c>
      <c r="E8" s="7">
        <f>COUNTIFS('테스트 케이스'!$B$2:$B$66,$A8,'테스트 케이스'!$K$2:$K$66,"미수행")</f>
        <v>0</v>
      </c>
      <c r="F8" s="7">
        <f>COUNTIFS('테스트 케이스'!$B$2:$B$66,$A8,'테스트 케이스'!$K$2:$K$66,"Blocked")</f>
        <v>0</v>
      </c>
      <c r="G8" s="8">
        <f t="shared" si="0"/>
        <v>1</v>
      </c>
      <c r="J8" s="23" t="s">
        <v>30</v>
      </c>
      <c r="K8" s="23" t="s">
        <v>31</v>
      </c>
      <c r="L8" s="23" t="s">
        <v>32</v>
      </c>
      <c r="M8" s="22" t="s">
        <v>33</v>
      </c>
      <c r="N8" s="23">
        <v>4</v>
      </c>
    </row>
    <row r="9" spans="1:14">
      <c r="A9" s="2" t="s">
        <v>34</v>
      </c>
      <c r="B9" s="7">
        <f>COUNTIF('테스트 케이스'!$B$2:$B$66,A9)</f>
        <v>2</v>
      </c>
      <c r="C9" s="7">
        <f>COUNTIFS('테스트 케이스'!$B$2:$B$66,$A9,'테스트 케이스'!$K$2:$K$66,"Pass")</f>
        <v>2</v>
      </c>
      <c r="D9" s="7">
        <f>COUNTIFS('테스트 케이스'!$B$2:$B$66,$A9,'테스트 케이스'!$K$2:$K$66,"Fail")</f>
        <v>0</v>
      </c>
      <c r="E9" s="7">
        <f>COUNTIFS('테스트 케이스'!$B$2:$B$66,$A9,'테스트 케이스'!$K$2:$K$66,"미수행")</f>
        <v>0</v>
      </c>
      <c r="F9" s="7">
        <f>COUNTIFS('테스트 케이스'!$B$2:$B$66,$A9,'테스트 케이스'!$K$2:$K$66,"Blocked")</f>
        <v>0</v>
      </c>
      <c r="G9" s="8">
        <f t="shared" si="0"/>
        <v>1</v>
      </c>
      <c r="J9" s="23" t="s">
        <v>35</v>
      </c>
      <c r="K9" s="23" t="s">
        <v>36</v>
      </c>
      <c r="L9" s="23" t="s">
        <v>34</v>
      </c>
      <c r="M9" s="22" t="s">
        <v>37</v>
      </c>
      <c r="N9" s="23">
        <v>2</v>
      </c>
    </row>
    <row r="10" spans="1:14">
      <c r="A10" s="2" t="s">
        <v>38</v>
      </c>
      <c r="B10" s="7">
        <f>COUNTIF('테스트 케이스'!$B$2:$B$66,A10)</f>
        <v>2</v>
      </c>
      <c r="C10" s="7">
        <f>COUNTIFS('테스트 케이스'!$B$2:$B$66,$A10,'테스트 케이스'!$K$2:$K$66,"Pass")</f>
        <v>1</v>
      </c>
      <c r="D10" s="7">
        <f>COUNTIFS('테스트 케이스'!$B$2:$B$66,$A10,'테스트 케이스'!$K$2:$K$66,"Fail")</f>
        <v>1</v>
      </c>
      <c r="E10" s="7">
        <f>COUNTIFS('테스트 케이스'!$B$2:$B$66,$A10,'테스트 케이스'!$K$2:$K$66,"미수행")</f>
        <v>0</v>
      </c>
      <c r="F10" s="7">
        <f>COUNTIFS('테스트 케이스'!$B$2:$B$66,$A10,'테스트 케이스'!$K$2:$K$66,"Blocked")</f>
        <v>0</v>
      </c>
      <c r="G10" s="8">
        <f t="shared" si="0"/>
        <v>1</v>
      </c>
      <c r="J10" s="23" t="s">
        <v>39</v>
      </c>
      <c r="K10" s="23" t="s">
        <v>40</v>
      </c>
      <c r="L10" s="23" t="s">
        <v>38</v>
      </c>
      <c r="M10" s="22" t="s">
        <v>41</v>
      </c>
      <c r="N10" s="23">
        <v>14</v>
      </c>
    </row>
    <row r="11" spans="1:14">
      <c r="A11" s="2" t="s">
        <v>42</v>
      </c>
      <c r="B11" s="7">
        <f>COUNTIF('테스트 케이스'!$B$2:$B$66,A11)</f>
        <v>13</v>
      </c>
      <c r="C11" s="7">
        <f>COUNTIFS('테스트 케이스'!$B$2:$B$66,$A11,'테스트 케이스'!$K$2:$K$66,"Pass")</f>
        <v>12</v>
      </c>
      <c r="D11" s="7">
        <f>COUNTIFS('테스트 케이스'!$B$2:$B$66,$A11,'테스트 케이스'!$K$2:$K$66,"Fail")</f>
        <v>1</v>
      </c>
      <c r="E11" s="7">
        <f>COUNTIFS('테스트 케이스'!$B$2:$B$66,$A11,'테스트 케이스'!$K$2:$K$66,"미수행")</f>
        <v>0</v>
      </c>
      <c r="F11" s="7">
        <f>COUNTIFS('테스트 케이스'!$B$2:$B$66,$A11,'테스트 케이스'!$K$2:$K$66,"Blocked")</f>
        <v>0</v>
      </c>
      <c r="G11" s="8">
        <f t="shared" si="0"/>
        <v>1</v>
      </c>
      <c r="J11" s="25" t="s">
        <v>43</v>
      </c>
      <c r="K11" s="25" t="s">
        <v>44</v>
      </c>
      <c r="L11" s="25" t="s">
        <v>45</v>
      </c>
      <c r="M11" s="26" t="s">
        <v>46</v>
      </c>
      <c r="N11" s="25">
        <v>6</v>
      </c>
    </row>
    <row r="12" spans="1:14">
      <c r="A12" s="2" t="s">
        <v>45</v>
      </c>
      <c r="B12" s="7">
        <f>COUNTIF('테스트 케이스'!$B$2:$B$66,A12)</f>
        <v>6</v>
      </c>
      <c r="C12" s="7">
        <f>COUNTIFS('테스트 케이스'!$B$2:$B$66,$A12,'테스트 케이스'!$K$2:$K$66,"Pass")</f>
        <v>6</v>
      </c>
      <c r="D12" s="7">
        <f>COUNTIFS('테스트 케이스'!$B$2:$B$66,$A12,'테스트 케이스'!$K$2:$K$66,"Fail")</f>
        <v>0</v>
      </c>
      <c r="E12" s="7">
        <f>COUNTIFS('테스트 케이스'!$B$2:$B$66,$A12,'테스트 케이스'!$K$2:$K$66,"미수행")</f>
        <v>0</v>
      </c>
      <c r="F12" s="7">
        <f>COUNTIFS('테스트 케이스'!$B$2:$B$66,$A12,'테스트 케이스'!$K$2:$K$66,"Blocked")</f>
        <v>0</v>
      </c>
      <c r="G12" s="8">
        <f t="shared" si="0"/>
        <v>1</v>
      </c>
      <c r="J12" s="23" t="s">
        <v>47</v>
      </c>
      <c r="K12" s="23" t="s">
        <v>48</v>
      </c>
      <c r="L12" s="23" t="s">
        <v>49</v>
      </c>
      <c r="M12" s="22" t="s">
        <v>50</v>
      </c>
      <c r="N12" s="23">
        <v>2</v>
      </c>
    </row>
    <row r="13" spans="1:14">
      <c r="A13" s="2" t="s">
        <v>49</v>
      </c>
      <c r="B13" s="7">
        <f>COUNTIF('테스트 케이스'!$B$2:$B$66,A13)</f>
        <v>2</v>
      </c>
      <c r="C13" s="7">
        <f>COUNTIFS('테스트 케이스'!$B$2:$B$66,$A13,'테스트 케이스'!$K$2:$K$66,"Pass")</f>
        <v>0</v>
      </c>
      <c r="D13" s="7">
        <f>COUNTIFS('테스트 케이스'!$B$2:$B$66,$A13,'테스트 케이스'!$K$2:$K$66,"Fail")</f>
        <v>0</v>
      </c>
      <c r="E13" s="7">
        <f>COUNTIFS('테스트 케이스'!$B$2:$B$66,$A13,'테스트 케이스'!$K$2:$K$66,"미수행")</f>
        <v>0</v>
      </c>
      <c r="F13" s="7">
        <f>COUNTIFS('테스트 케이스'!$B$2:$B$66,$A13,'테스트 케이스'!$K$2:$K$66,"Blocked")</f>
        <v>2</v>
      </c>
      <c r="G13" s="8">
        <f t="shared" si="0"/>
        <v>1</v>
      </c>
      <c r="J13" s="24"/>
      <c r="K13" s="24"/>
      <c r="L13" s="24"/>
      <c r="N13" s="24"/>
    </row>
    <row r="14" spans="1:14">
      <c r="A14" s="9" t="s">
        <v>51</v>
      </c>
      <c r="B14" s="10">
        <f>SUM(B5:B13)</f>
        <v>65</v>
      </c>
      <c r="C14" s="10">
        <f>SUM(C5:C13)</f>
        <v>53</v>
      </c>
      <c r="D14" s="10">
        <f>SUM(D5:D13)</f>
        <v>10</v>
      </c>
      <c r="E14" s="10">
        <f>SUM(E5:E13)</f>
        <v>0</v>
      </c>
      <c r="F14" s="10">
        <f>SUM(F5:F13)</f>
        <v>2</v>
      </c>
      <c r="G14" s="11">
        <f t="shared" si="0"/>
        <v>1</v>
      </c>
    </row>
    <row r="16" spans="1:14">
      <c r="A16" s="12" t="s">
        <v>52</v>
      </c>
    </row>
    <row r="17" spans="1:12">
      <c r="A17" s="3" t="s">
        <v>53</v>
      </c>
      <c r="B17" s="3" t="s">
        <v>54</v>
      </c>
      <c r="C17" s="6" t="s">
        <v>5</v>
      </c>
      <c r="D17" s="33" t="s">
        <v>55</v>
      </c>
      <c r="E17" s="33"/>
      <c r="F17" s="33"/>
      <c r="G17" s="33"/>
      <c r="J17" s="30" t="s">
        <v>9</v>
      </c>
      <c r="K17" s="30" t="s">
        <v>56</v>
      </c>
      <c r="L17" s="30" t="s">
        <v>57</v>
      </c>
    </row>
    <row r="18" spans="1:12">
      <c r="A18" s="1" t="s">
        <v>58</v>
      </c>
      <c r="B18" s="7">
        <f>COUNTIF('테스트 케이스'!$L$2:$L$66,A18)</f>
        <v>2</v>
      </c>
      <c r="C18" s="7">
        <f>COUNTIFS('테스트 케이스'!$L$2:$L$66,A18,'테스트 케이스'!$K$2:$K$66,"Fail")</f>
        <v>0</v>
      </c>
      <c r="D18" s="34" t="s">
        <v>59</v>
      </c>
      <c r="E18" s="34"/>
      <c r="F18" s="34"/>
      <c r="G18" s="34"/>
      <c r="J18" s="22" t="s">
        <v>60</v>
      </c>
      <c r="K18" s="22" t="s">
        <v>61</v>
      </c>
      <c r="L18" s="22" t="s">
        <v>62</v>
      </c>
    </row>
    <row r="19" spans="1:12">
      <c r="A19" s="1" t="s">
        <v>63</v>
      </c>
      <c r="B19" s="7">
        <f>COUNTIF('테스트 케이스'!$L$2:$L$66,A19)</f>
        <v>2</v>
      </c>
      <c r="C19" s="7">
        <f>COUNTIFS('테스트 케이스'!$L$2:$L$66,A19,'테스트 케이스'!$K$2:$K$66,"Fail")</f>
        <v>0</v>
      </c>
      <c r="D19" s="34" t="s">
        <v>64</v>
      </c>
      <c r="E19" s="34"/>
      <c r="F19" s="34"/>
      <c r="G19" s="34"/>
      <c r="J19" s="22" t="s">
        <v>65</v>
      </c>
      <c r="K19" s="22" t="s">
        <v>66</v>
      </c>
      <c r="L19" s="22" t="s">
        <v>67</v>
      </c>
    </row>
    <row r="20" spans="1:12">
      <c r="A20" s="1" t="s">
        <v>68</v>
      </c>
      <c r="B20" s="7">
        <f>COUNTIF('테스트 케이스'!$L$2:$L$66,A20)</f>
        <v>1</v>
      </c>
      <c r="C20" s="7">
        <f>COUNTIFS('테스트 케이스'!$L$2:$L$66,A20,'테스트 케이스'!$K$2:$K$66,"Fail")</f>
        <v>1</v>
      </c>
      <c r="D20" s="35" t="s">
        <v>69</v>
      </c>
      <c r="E20" s="35"/>
      <c r="F20" s="35"/>
      <c r="G20" s="35"/>
      <c r="J20" s="22" t="s">
        <v>70</v>
      </c>
      <c r="K20" s="22" t="s">
        <v>71</v>
      </c>
      <c r="L20" s="22" t="s">
        <v>72</v>
      </c>
    </row>
    <row r="21" spans="1:12">
      <c r="A21" s="1" t="s">
        <v>73</v>
      </c>
      <c r="B21" s="7">
        <f>COUNTIF('테스트 케이스'!$L$2:$L$66,A21)</f>
        <v>1</v>
      </c>
      <c r="C21" s="7">
        <f>COUNTIFS('테스트 케이스'!$L$2:$L$66,A21,'테스트 케이스'!$K$2:$K$66,"Fail")</f>
        <v>1</v>
      </c>
      <c r="D21" s="34" t="s">
        <v>74</v>
      </c>
      <c r="E21" s="34"/>
      <c r="F21" s="34"/>
      <c r="G21" s="34"/>
    </row>
    <row r="22" spans="1:12">
      <c r="A22" s="1" t="s">
        <v>65</v>
      </c>
      <c r="B22" s="7">
        <f>COUNTIF('테스트 케이스'!$L$2:$L$66,A22)</f>
        <v>1</v>
      </c>
      <c r="C22" s="7">
        <f>COUNTIFS('테스트 케이스'!$L$2:$L$66,A22,'테스트 케이스'!$K$2:$K$66,"Fail")</f>
        <v>0</v>
      </c>
      <c r="D22" s="35" t="s">
        <v>75</v>
      </c>
      <c r="E22" s="35"/>
      <c r="F22" s="35"/>
      <c r="G22" s="35"/>
    </row>
    <row r="23" spans="1:12">
      <c r="A23" s="1" t="s">
        <v>76</v>
      </c>
      <c r="B23" s="7">
        <f>COUNTIF('테스트 케이스'!$L$2:$L$66,A23)</f>
        <v>3</v>
      </c>
      <c r="C23" s="7">
        <f>COUNTIFS('테스트 케이스'!$L$2:$L$66,A23,'테스트 케이스'!$K$2:$K$66,"Fail")</f>
        <v>2</v>
      </c>
      <c r="D23" s="34" t="s">
        <v>77</v>
      </c>
      <c r="E23" s="34"/>
      <c r="F23" s="34"/>
      <c r="G23" s="34"/>
    </row>
    <row r="24" spans="1:12">
      <c r="A24" s="1" t="s">
        <v>78</v>
      </c>
      <c r="B24" s="7">
        <f>COUNTIF('테스트 케이스'!$L$2:$L$66,A24)</f>
        <v>1</v>
      </c>
      <c r="C24" s="7">
        <f>COUNTIFS('테스트 케이스'!$L$2:$L$66,A24,'테스트 케이스'!$K$2:$K$66,"Fail")</f>
        <v>1</v>
      </c>
      <c r="D24" s="34" t="s">
        <v>79</v>
      </c>
      <c r="E24" s="34"/>
      <c r="F24" s="34"/>
      <c r="G24" s="34"/>
    </row>
    <row r="26" spans="1:12">
      <c r="A26" s="12" t="s">
        <v>80</v>
      </c>
    </row>
    <row r="27" spans="1:12" ht="30" customHeight="1">
      <c r="A27" s="38" t="s">
        <v>81</v>
      </c>
      <c r="B27" s="38"/>
      <c r="C27" s="38"/>
      <c r="D27" s="38"/>
      <c r="E27" s="38"/>
      <c r="F27" s="38"/>
      <c r="G27" s="38"/>
    </row>
    <row r="28" spans="1:12" ht="30" customHeight="1">
      <c r="A28" s="38" t="s">
        <v>82</v>
      </c>
      <c r="B28" s="38"/>
      <c r="C28" s="38"/>
      <c r="D28" s="38"/>
      <c r="E28" s="38"/>
      <c r="F28" s="38"/>
      <c r="G28" s="38"/>
    </row>
    <row r="29" spans="1:12" ht="30" customHeight="1">
      <c r="A29" s="36" t="s">
        <v>83</v>
      </c>
      <c r="B29" s="36"/>
      <c r="C29" s="36"/>
      <c r="D29" s="36"/>
      <c r="E29" s="36"/>
      <c r="F29" s="36"/>
      <c r="G29" s="36"/>
    </row>
    <row r="30" spans="1:12" ht="30" customHeight="1">
      <c r="A30" s="36" t="s">
        <v>84</v>
      </c>
      <c r="B30" s="36"/>
      <c r="C30" s="36"/>
      <c r="D30" s="36"/>
      <c r="E30" s="36"/>
      <c r="F30" s="36"/>
      <c r="G30" s="36"/>
    </row>
    <row r="31" spans="1:12" ht="30" customHeight="1">
      <c r="A31" s="36" t="s">
        <v>85</v>
      </c>
      <c r="B31" s="36"/>
      <c r="C31" s="36"/>
      <c r="D31" s="36"/>
      <c r="E31" s="36"/>
      <c r="F31" s="36"/>
      <c r="G31" s="36"/>
    </row>
    <row r="32" spans="1:12" ht="30" customHeight="1">
      <c r="A32" s="37" t="s">
        <v>86</v>
      </c>
      <c r="B32" s="38"/>
      <c r="C32" s="38"/>
      <c r="D32" s="38"/>
      <c r="E32" s="38"/>
      <c r="F32" s="38"/>
      <c r="G32" s="38"/>
    </row>
    <row r="33" spans="1:1">
      <c r="A33" s="19" t="s">
        <v>87</v>
      </c>
    </row>
    <row r="34" spans="1:1">
      <c r="A34" s="31" t="s">
        <v>88</v>
      </c>
    </row>
  </sheetData>
  <mergeCells count="14">
    <mergeCell ref="A29:G29"/>
    <mergeCell ref="A30:G30"/>
    <mergeCell ref="A31:G31"/>
    <mergeCell ref="A32:G32"/>
    <mergeCell ref="D22:G22"/>
    <mergeCell ref="D23:G23"/>
    <mergeCell ref="D24:G24"/>
    <mergeCell ref="A27:G27"/>
    <mergeCell ref="A28:G28"/>
    <mergeCell ref="D17:G17"/>
    <mergeCell ref="D18:G18"/>
    <mergeCell ref="D19:G19"/>
    <mergeCell ref="D20:G20"/>
    <mergeCell ref="D21:G21"/>
  </mergeCells>
  <phoneticPr fontId="2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zoomScaleNormal="10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O68" sqref="O68"/>
    </sheetView>
  </sheetViews>
  <sheetFormatPr defaultColWidth="8.7109375" defaultRowHeight="15"/>
  <cols>
    <col min="1" max="1" width="8" customWidth="1"/>
    <col min="2" max="2" width="11" customWidth="1"/>
    <col min="3" max="3" width="29" customWidth="1"/>
    <col min="4" max="4" width="12" customWidth="1"/>
    <col min="5" max="5" width="9" customWidth="1"/>
    <col min="6" max="6" width="38.7109375" customWidth="1"/>
    <col min="7" max="7" width="24" customWidth="1"/>
    <col min="8" max="8" width="67" customWidth="1"/>
    <col min="9" max="9" width="32" customWidth="1"/>
    <col min="10" max="10" width="36.28515625" customWidth="1"/>
    <col min="11" max="11" width="9" customWidth="1"/>
    <col min="12" max="12" width="10" customWidth="1"/>
    <col min="13" max="13" width="22" customWidth="1"/>
    <col min="14" max="14" width="16" customWidth="1"/>
    <col min="15" max="15" width="34.5703125" customWidth="1"/>
  </cols>
  <sheetData>
    <row r="1" spans="1:15" ht="24" customHeight="1">
      <c r="A1" s="13" t="s">
        <v>89</v>
      </c>
      <c r="B1" s="14" t="s">
        <v>2</v>
      </c>
      <c r="C1" s="14" t="s">
        <v>90</v>
      </c>
      <c r="D1" s="14" t="s">
        <v>91</v>
      </c>
      <c r="E1" s="14" t="s">
        <v>92</v>
      </c>
      <c r="F1" s="14" t="s">
        <v>93</v>
      </c>
      <c r="G1" s="32" t="s">
        <v>95</v>
      </c>
      <c r="H1" s="32" t="s">
        <v>94</v>
      </c>
      <c r="I1" s="14" t="s">
        <v>96</v>
      </c>
      <c r="J1" s="14" t="s">
        <v>97</v>
      </c>
      <c r="K1" s="14" t="s">
        <v>98</v>
      </c>
      <c r="L1" s="14" t="s">
        <v>99</v>
      </c>
      <c r="M1" s="14" t="s">
        <v>100</v>
      </c>
      <c r="N1" s="14" t="s">
        <v>101</v>
      </c>
      <c r="O1" s="14" t="s">
        <v>102</v>
      </c>
    </row>
    <row r="2" spans="1:15" ht="40.5">
      <c r="A2" s="15" t="s">
        <v>103</v>
      </c>
      <c r="B2" s="16" t="s">
        <v>14</v>
      </c>
      <c r="C2" s="17" t="s">
        <v>104</v>
      </c>
      <c r="D2" s="16" t="s">
        <v>105</v>
      </c>
      <c r="E2" s="15" t="s">
        <v>106</v>
      </c>
      <c r="F2" s="17"/>
      <c r="G2" s="18" t="s">
        <v>108</v>
      </c>
      <c r="H2" s="18" t="s">
        <v>107</v>
      </c>
      <c r="I2" s="17" t="s">
        <v>109</v>
      </c>
      <c r="J2" s="18" t="s">
        <v>110</v>
      </c>
      <c r="K2" s="15" t="s">
        <v>4</v>
      </c>
      <c r="L2" s="15" t="s">
        <v>111</v>
      </c>
      <c r="M2" s="18" t="s">
        <v>112</v>
      </c>
      <c r="N2" s="17" t="s">
        <v>113</v>
      </c>
      <c r="O2" s="17" t="s">
        <v>114</v>
      </c>
    </row>
    <row r="3" spans="1:15" ht="40.5">
      <c r="A3" s="15" t="s">
        <v>115</v>
      </c>
      <c r="B3" s="16" t="s">
        <v>14</v>
      </c>
      <c r="C3" s="17" t="s">
        <v>104</v>
      </c>
      <c r="D3" s="16" t="s">
        <v>105</v>
      </c>
      <c r="E3" s="15" t="s">
        <v>106</v>
      </c>
      <c r="F3" s="17"/>
      <c r="G3" s="18" t="s">
        <v>116</v>
      </c>
      <c r="H3" s="18" t="s">
        <v>107</v>
      </c>
      <c r="I3" s="17" t="s">
        <v>109</v>
      </c>
      <c r="J3" s="18" t="s">
        <v>117</v>
      </c>
      <c r="K3" s="15" t="s">
        <v>5</v>
      </c>
      <c r="L3" s="15" t="s">
        <v>111</v>
      </c>
      <c r="M3" s="18" t="s">
        <v>112</v>
      </c>
      <c r="N3" s="17" t="s">
        <v>113</v>
      </c>
      <c r="O3" s="17" t="s">
        <v>118</v>
      </c>
    </row>
    <row r="4" spans="1:15" ht="40.5">
      <c r="A4" s="15" t="s">
        <v>119</v>
      </c>
      <c r="B4" s="16" t="s">
        <v>14</v>
      </c>
      <c r="C4" s="17" t="s">
        <v>104</v>
      </c>
      <c r="D4" s="16" t="s">
        <v>105</v>
      </c>
      <c r="E4" s="15" t="s">
        <v>106</v>
      </c>
      <c r="F4" s="17"/>
      <c r="G4" s="18" t="s">
        <v>120</v>
      </c>
      <c r="H4" s="18" t="s">
        <v>107</v>
      </c>
      <c r="I4" s="17" t="s">
        <v>109</v>
      </c>
      <c r="J4" s="18" t="s">
        <v>121</v>
      </c>
      <c r="K4" s="15" t="s">
        <v>5</v>
      </c>
      <c r="L4" s="15" t="s">
        <v>111</v>
      </c>
      <c r="M4" s="18" t="s">
        <v>112</v>
      </c>
      <c r="N4" s="17" t="s">
        <v>113</v>
      </c>
      <c r="O4" s="17" t="s">
        <v>118</v>
      </c>
    </row>
    <row r="5" spans="1:15" ht="40.5">
      <c r="A5" s="15" t="s">
        <v>122</v>
      </c>
      <c r="B5" s="16" t="s">
        <v>14</v>
      </c>
      <c r="C5" s="17" t="s">
        <v>104</v>
      </c>
      <c r="D5" s="16" t="s">
        <v>105</v>
      </c>
      <c r="E5" s="15" t="s">
        <v>106</v>
      </c>
      <c r="F5" s="17"/>
      <c r="G5" s="18" t="s">
        <v>123</v>
      </c>
      <c r="H5" s="18" t="s">
        <v>107</v>
      </c>
      <c r="I5" s="17" t="s">
        <v>109</v>
      </c>
      <c r="J5" s="18" t="s">
        <v>124</v>
      </c>
      <c r="K5" s="15" t="s">
        <v>5</v>
      </c>
      <c r="L5" s="15" t="s">
        <v>111</v>
      </c>
      <c r="M5" s="18" t="s">
        <v>112</v>
      </c>
      <c r="N5" s="17" t="s">
        <v>113</v>
      </c>
      <c r="O5" s="17" t="s">
        <v>118</v>
      </c>
    </row>
    <row r="6" spans="1:15" ht="40.5">
      <c r="A6" s="15" t="s">
        <v>125</v>
      </c>
      <c r="B6" s="16" t="s">
        <v>14</v>
      </c>
      <c r="C6" s="17" t="s">
        <v>104</v>
      </c>
      <c r="D6" s="16" t="s">
        <v>105</v>
      </c>
      <c r="E6" s="15" t="s">
        <v>106</v>
      </c>
      <c r="F6" s="17"/>
      <c r="G6" s="18" t="s">
        <v>126</v>
      </c>
      <c r="H6" s="18" t="s">
        <v>107</v>
      </c>
      <c r="I6" s="17" t="s">
        <v>109</v>
      </c>
      <c r="J6" s="18" t="s">
        <v>127</v>
      </c>
      <c r="K6" s="15" t="s">
        <v>5</v>
      </c>
      <c r="L6" s="15" t="s">
        <v>111</v>
      </c>
      <c r="M6" s="18" t="s">
        <v>112</v>
      </c>
      <c r="N6" s="17" t="s">
        <v>113</v>
      </c>
      <c r="O6" s="17" t="s">
        <v>118</v>
      </c>
    </row>
    <row r="7" spans="1:15" ht="40.5">
      <c r="A7" s="15" t="s">
        <v>128</v>
      </c>
      <c r="B7" s="16" t="s">
        <v>14</v>
      </c>
      <c r="C7" s="17" t="s">
        <v>104</v>
      </c>
      <c r="D7" s="16" t="s">
        <v>105</v>
      </c>
      <c r="E7" s="15" t="s">
        <v>129</v>
      </c>
      <c r="F7" s="17"/>
      <c r="G7" s="18" t="s">
        <v>130</v>
      </c>
      <c r="H7" s="18" t="s">
        <v>107</v>
      </c>
      <c r="I7" s="17" t="s">
        <v>109</v>
      </c>
      <c r="J7" s="18" t="s">
        <v>131</v>
      </c>
      <c r="K7" s="15" t="s">
        <v>5</v>
      </c>
      <c r="L7" s="15" t="s">
        <v>111</v>
      </c>
      <c r="M7" s="18" t="s">
        <v>112</v>
      </c>
      <c r="N7" s="17" t="s">
        <v>113</v>
      </c>
      <c r="O7" s="17" t="s">
        <v>118</v>
      </c>
    </row>
    <row r="8" spans="1:15" ht="54">
      <c r="A8" s="15" t="s">
        <v>132</v>
      </c>
      <c r="B8" s="16" t="s">
        <v>14</v>
      </c>
      <c r="C8" s="17" t="s">
        <v>133</v>
      </c>
      <c r="D8" s="16" t="s">
        <v>105</v>
      </c>
      <c r="E8" s="15" t="s">
        <v>129</v>
      </c>
      <c r="F8" s="20" t="s">
        <v>134</v>
      </c>
      <c r="G8" s="18" t="s">
        <v>136</v>
      </c>
      <c r="H8" s="18" t="s">
        <v>135</v>
      </c>
      <c r="I8" s="18" t="s">
        <v>137</v>
      </c>
      <c r="J8" s="18" t="s">
        <v>138</v>
      </c>
      <c r="K8" s="15" t="s">
        <v>4</v>
      </c>
      <c r="L8" s="15" t="s">
        <v>111</v>
      </c>
      <c r="M8" s="18" t="s">
        <v>139</v>
      </c>
      <c r="N8" s="17" t="s">
        <v>140</v>
      </c>
      <c r="O8" s="18" t="s">
        <v>141</v>
      </c>
    </row>
    <row r="9" spans="1:15" ht="27">
      <c r="A9" s="15" t="s">
        <v>142</v>
      </c>
      <c r="B9" s="16" t="s">
        <v>14</v>
      </c>
      <c r="C9" s="17" t="s">
        <v>133</v>
      </c>
      <c r="D9" s="16" t="s">
        <v>105</v>
      </c>
      <c r="E9" s="15" t="s">
        <v>106</v>
      </c>
      <c r="F9" s="17"/>
      <c r="G9" s="18" t="s">
        <v>144</v>
      </c>
      <c r="H9" s="18" t="s">
        <v>143</v>
      </c>
      <c r="I9" s="17" t="s">
        <v>145</v>
      </c>
      <c r="J9" s="18" t="s">
        <v>146</v>
      </c>
      <c r="K9" s="15" t="s">
        <v>4</v>
      </c>
      <c r="L9" s="15" t="s">
        <v>111</v>
      </c>
      <c r="M9" s="18" t="s">
        <v>147</v>
      </c>
      <c r="N9" s="17" t="s">
        <v>148</v>
      </c>
      <c r="O9" s="17"/>
    </row>
    <row r="10" spans="1:15" ht="27">
      <c r="A10" s="15" t="s">
        <v>149</v>
      </c>
      <c r="B10" s="16" t="s">
        <v>14</v>
      </c>
      <c r="C10" s="17" t="s">
        <v>150</v>
      </c>
      <c r="D10" s="16" t="s">
        <v>105</v>
      </c>
      <c r="E10" s="15" t="s">
        <v>106</v>
      </c>
      <c r="F10" s="20" t="s">
        <v>151</v>
      </c>
      <c r="G10" s="18" t="s">
        <v>153</v>
      </c>
      <c r="H10" s="18" t="s">
        <v>152</v>
      </c>
      <c r="I10" s="17" t="s">
        <v>154</v>
      </c>
      <c r="J10" s="17" t="s">
        <v>155</v>
      </c>
      <c r="K10" s="15" t="s">
        <v>5</v>
      </c>
      <c r="L10" s="15" t="s">
        <v>78</v>
      </c>
      <c r="M10" s="18" t="s">
        <v>156</v>
      </c>
      <c r="N10" s="17" t="s">
        <v>157</v>
      </c>
      <c r="O10" s="17" t="s">
        <v>158</v>
      </c>
    </row>
    <row r="11" spans="1:15" ht="48.75" customHeight="1">
      <c r="A11" s="15" t="s">
        <v>159</v>
      </c>
      <c r="B11" s="16" t="s">
        <v>19</v>
      </c>
      <c r="C11" s="18" t="s">
        <v>160</v>
      </c>
      <c r="D11" s="16" t="s">
        <v>105</v>
      </c>
      <c r="E11" s="15" t="s">
        <v>106</v>
      </c>
      <c r="F11" s="20"/>
      <c r="G11" s="18" t="s">
        <v>162</v>
      </c>
      <c r="H11" s="18" t="s">
        <v>161</v>
      </c>
      <c r="I11" s="18" t="s">
        <v>163</v>
      </c>
      <c r="J11" s="18" t="s">
        <v>164</v>
      </c>
      <c r="K11" s="15" t="s">
        <v>4</v>
      </c>
      <c r="L11" s="15" t="s">
        <v>111</v>
      </c>
      <c r="M11" s="18" t="s">
        <v>165</v>
      </c>
      <c r="N11" s="17" t="s">
        <v>166</v>
      </c>
      <c r="O11" s="17"/>
    </row>
    <row r="12" spans="1:15" ht="48.75" customHeight="1">
      <c r="A12" s="15" t="s">
        <v>167</v>
      </c>
      <c r="B12" s="16" t="s">
        <v>19</v>
      </c>
      <c r="C12" s="18" t="s">
        <v>160</v>
      </c>
      <c r="D12" s="16" t="s">
        <v>105</v>
      </c>
      <c r="E12" s="15" t="s">
        <v>106</v>
      </c>
      <c r="F12" s="20"/>
      <c r="G12" s="18" t="s">
        <v>168</v>
      </c>
      <c r="H12" s="18" t="s">
        <v>161</v>
      </c>
      <c r="I12" s="18" t="s">
        <v>163</v>
      </c>
      <c r="J12" s="18" t="s">
        <v>169</v>
      </c>
      <c r="K12" s="15" t="s">
        <v>4</v>
      </c>
      <c r="L12" s="15" t="s">
        <v>111</v>
      </c>
      <c r="M12" s="18" t="s">
        <v>165</v>
      </c>
      <c r="N12" s="17" t="s">
        <v>166</v>
      </c>
      <c r="O12" s="17"/>
    </row>
    <row r="13" spans="1:15" ht="48.75" customHeight="1">
      <c r="A13" s="15" t="s">
        <v>170</v>
      </c>
      <c r="B13" s="16" t="s">
        <v>19</v>
      </c>
      <c r="C13" s="18" t="s">
        <v>160</v>
      </c>
      <c r="D13" s="16" t="s">
        <v>105</v>
      </c>
      <c r="E13" s="15" t="s">
        <v>129</v>
      </c>
      <c r="F13" s="20"/>
      <c r="G13" s="18" t="s">
        <v>171</v>
      </c>
      <c r="H13" s="18" t="s">
        <v>161</v>
      </c>
      <c r="I13" s="18" t="s">
        <v>163</v>
      </c>
      <c r="J13" s="18" t="s">
        <v>172</v>
      </c>
      <c r="K13" s="15" t="s">
        <v>5</v>
      </c>
      <c r="L13" s="15" t="s">
        <v>76</v>
      </c>
      <c r="M13" s="18" t="s">
        <v>165</v>
      </c>
      <c r="N13" s="17" t="s">
        <v>166</v>
      </c>
      <c r="O13" s="17"/>
    </row>
    <row r="14" spans="1:15" ht="27">
      <c r="A14" s="15" t="s">
        <v>173</v>
      </c>
      <c r="B14" s="16" t="s">
        <v>19</v>
      </c>
      <c r="C14" s="18" t="s">
        <v>174</v>
      </c>
      <c r="D14" s="16" t="s">
        <v>105</v>
      </c>
      <c r="E14" s="15" t="s">
        <v>129</v>
      </c>
      <c r="F14" s="20"/>
      <c r="G14" s="18" t="s">
        <v>176</v>
      </c>
      <c r="H14" s="18" t="s">
        <v>175</v>
      </c>
      <c r="I14" s="17" t="s">
        <v>177</v>
      </c>
      <c r="J14" s="17" t="s">
        <v>178</v>
      </c>
      <c r="K14" s="15" t="s">
        <v>5</v>
      </c>
      <c r="L14" s="15" t="s">
        <v>76</v>
      </c>
      <c r="M14" s="17" t="s">
        <v>179</v>
      </c>
      <c r="N14" s="17" t="s">
        <v>180</v>
      </c>
      <c r="O14" s="18" t="s">
        <v>181</v>
      </c>
    </row>
    <row r="15" spans="1:15" ht="57" customHeight="1">
      <c r="A15" s="15" t="s">
        <v>182</v>
      </c>
      <c r="B15" s="16" t="s">
        <v>19</v>
      </c>
      <c r="C15" s="18" t="s">
        <v>183</v>
      </c>
      <c r="D15" s="16" t="s">
        <v>105</v>
      </c>
      <c r="E15" s="15" t="s">
        <v>106</v>
      </c>
      <c r="F15" s="20"/>
      <c r="G15" s="18" t="s">
        <v>162</v>
      </c>
      <c r="H15" s="18" t="s">
        <v>161</v>
      </c>
      <c r="I15" s="18" t="s">
        <v>163</v>
      </c>
      <c r="J15" s="18" t="s">
        <v>184</v>
      </c>
      <c r="K15" s="15" t="s">
        <v>4</v>
      </c>
      <c r="L15" s="15" t="s">
        <v>111</v>
      </c>
      <c r="M15" s="18" t="s">
        <v>165</v>
      </c>
      <c r="N15" s="17" t="s">
        <v>166</v>
      </c>
      <c r="O15" s="17"/>
    </row>
    <row r="16" spans="1:15" ht="57" customHeight="1">
      <c r="A16" s="15" t="s">
        <v>185</v>
      </c>
      <c r="B16" s="16" t="s">
        <v>19</v>
      </c>
      <c r="C16" s="18" t="s">
        <v>183</v>
      </c>
      <c r="D16" s="16" t="s">
        <v>105</v>
      </c>
      <c r="E16" s="15" t="s">
        <v>106</v>
      </c>
      <c r="F16" s="20"/>
      <c r="G16" s="18" t="s">
        <v>168</v>
      </c>
      <c r="H16" s="18" t="s">
        <v>161</v>
      </c>
      <c r="I16" s="18" t="s">
        <v>163</v>
      </c>
      <c r="J16" s="18" t="s">
        <v>186</v>
      </c>
      <c r="K16" s="15" t="s">
        <v>4</v>
      </c>
      <c r="L16" s="15" t="s">
        <v>111</v>
      </c>
      <c r="M16" s="18" t="s">
        <v>165</v>
      </c>
      <c r="N16" s="17" t="s">
        <v>166</v>
      </c>
      <c r="O16" s="17"/>
    </row>
    <row r="17" spans="1:15" ht="57" customHeight="1">
      <c r="A17" s="15" t="s">
        <v>187</v>
      </c>
      <c r="B17" s="16" t="s">
        <v>19</v>
      </c>
      <c r="C17" s="18" t="s">
        <v>183</v>
      </c>
      <c r="D17" s="16" t="s">
        <v>105</v>
      </c>
      <c r="E17" s="15" t="s">
        <v>129</v>
      </c>
      <c r="F17" s="20"/>
      <c r="G17" s="18" t="s">
        <v>171</v>
      </c>
      <c r="H17" s="18" t="s">
        <v>161</v>
      </c>
      <c r="I17" s="18" t="s">
        <v>163</v>
      </c>
      <c r="J17" s="18" t="s">
        <v>188</v>
      </c>
      <c r="K17" s="15" t="s">
        <v>4</v>
      </c>
      <c r="L17" s="15" t="s">
        <v>111</v>
      </c>
      <c r="M17" s="18" t="s">
        <v>165</v>
      </c>
      <c r="N17" s="17" t="s">
        <v>166</v>
      </c>
      <c r="O17" s="17"/>
    </row>
    <row r="18" spans="1:15" ht="57" customHeight="1">
      <c r="A18" s="15" t="s">
        <v>189</v>
      </c>
      <c r="B18" s="16" t="s">
        <v>19</v>
      </c>
      <c r="C18" s="18" t="s">
        <v>183</v>
      </c>
      <c r="D18" s="16" t="s">
        <v>105</v>
      </c>
      <c r="E18" s="15" t="s">
        <v>129</v>
      </c>
      <c r="F18" s="20"/>
      <c r="G18" s="18" t="s">
        <v>190</v>
      </c>
      <c r="H18" s="18" t="s">
        <v>161</v>
      </c>
      <c r="I18" s="18" t="s">
        <v>163</v>
      </c>
      <c r="J18" s="18" t="s">
        <v>191</v>
      </c>
      <c r="K18" s="15" t="s">
        <v>4</v>
      </c>
      <c r="L18" s="15" t="s">
        <v>111</v>
      </c>
      <c r="M18" s="18" t="s">
        <v>165</v>
      </c>
      <c r="N18" s="17" t="s">
        <v>166</v>
      </c>
      <c r="O18" s="17"/>
    </row>
    <row r="19" spans="1:15" ht="27">
      <c r="A19" s="15" t="s">
        <v>192</v>
      </c>
      <c r="B19" s="16" t="s">
        <v>19</v>
      </c>
      <c r="C19" s="18" t="s">
        <v>193</v>
      </c>
      <c r="D19" s="16" t="s">
        <v>105</v>
      </c>
      <c r="E19" s="15" t="s">
        <v>129</v>
      </c>
      <c r="F19" s="20"/>
      <c r="G19" s="18" t="s">
        <v>195</v>
      </c>
      <c r="H19" s="18" t="s">
        <v>194</v>
      </c>
      <c r="I19" s="17" t="s">
        <v>196</v>
      </c>
      <c r="J19" s="17" t="s">
        <v>197</v>
      </c>
      <c r="K19" s="15" t="s">
        <v>4</v>
      </c>
      <c r="L19" s="15" t="s">
        <v>76</v>
      </c>
      <c r="M19" s="17" t="s">
        <v>198</v>
      </c>
      <c r="N19" s="17" t="s">
        <v>199</v>
      </c>
      <c r="O19" s="18" t="s">
        <v>200</v>
      </c>
    </row>
    <row r="20" spans="1:15" ht="27">
      <c r="A20" s="15" t="s">
        <v>201</v>
      </c>
      <c r="B20" s="16" t="s">
        <v>19</v>
      </c>
      <c r="C20" s="18" t="s">
        <v>202</v>
      </c>
      <c r="D20" s="16" t="s">
        <v>203</v>
      </c>
      <c r="E20" s="15" t="s">
        <v>129</v>
      </c>
      <c r="F20" s="18"/>
      <c r="G20" s="17" t="s">
        <v>205</v>
      </c>
      <c r="H20" s="18" t="s">
        <v>204</v>
      </c>
      <c r="I20" s="17" t="s">
        <v>206</v>
      </c>
      <c r="J20" s="18" t="s">
        <v>207</v>
      </c>
      <c r="K20" s="15" t="s">
        <v>4</v>
      </c>
      <c r="L20" s="15" t="s">
        <v>111</v>
      </c>
      <c r="M20" s="18" t="s">
        <v>208</v>
      </c>
      <c r="N20" s="17" t="s">
        <v>209</v>
      </c>
      <c r="O20" s="17"/>
    </row>
    <row r="21" spans="1:15" ht="41.25" customHeight="1">
      <c r="A21" s="15" t="s">
        <v>210</v>
      </c>
      <c r="B21" s="16" t="s">
        <v>19</v>
      </c>
      <c r="C21" s="18" t="s">
        <v>211</v>
      </c>
      <c r="D21" s="16" t="s">
        <v>203</v>
      </c>
      <c r="E21" s="15" t="s">
        <v>129</v>
      </c>
      <c r="F21" s="18"/>
      <c r="G21" s="17" t="s">
        <v>205</v>
      </c>
      <c r="H21" s="18" t="s">
        <v>212</v>
      </c>
      <c r="I21" s="18" t="s">
        <v>213</v>
      </c>
      <c r="J21" s="17" t="s">
        <v>214</v>
      </c>
      <c r="K21" s="15" t="s">
        <v>4</v>
      </c>
      <c r="L21" s="15" t="s">
        <v>111</v>
      </c>
      <c r="M21" s="18" t="s">
        <v>208</v>
      </c>
      <c r="N21" s="17" t="s">
        <v>215</v>
      </c>
      <c r="O21" s="17"/>
    </row>
    <row r="22" spans="1:15" ht="27">
      <c r="A22" s="15" t="s">
        <v>216</v>
      </c>
      <c r="B22" s="16" t="s">
        <v>19</v>
      </c>
      <c r="C22" s="18" t="s">
        <v>217</v>
      </c>
      <c r="D22" s="16" t="s">
        <v>203</v>
      </c>
      <c r="E22" s="15" t="s">
        <v>129</v>
      </c>
      <c r="F22" s="18"/>
      <c r="G22" s="17" t="s">
        <v>205</v>
      </c>
      <c r="H22" s="18" t="s">
        <v>218</v>
      </c>
      <c r="I22" s="17" t="s">
        <v>219</v>
      </c>
      <c r="J22" s="18" t="s">
        <v>220</v>
      </c>
      <c r="K22" s="15" t="s">
        <v>4</v>
      </c>
      <c r="L22" s="15" t="s">
        <v>111</v>
      </c>
      <c r="M22" s="18" t="s">
        <v>208</v>
      </c>
      <c r="N22" s="17" t="s">
        <v>215</v>
      </c>
      <c r="O22" s="17"/>
    </row>
    <row r="23" spans="1:15" ht="27">
      <c r="A23" s="15" t="s">
        <v>221</v>
      </c>
      <c r="B23" s="16" t="s">
        <v>19</v>
      </c>
      <c r="C23" s="18" t="s">
        <v>222</v>
      </c>
      <c r="D23" s="16" t="s">
        <v>203</v>
      </c>
      <c r="E23" s="15" t="s">
        <v>106</v>
      </c>
      <c r="F23" s="18"/>
      <c r="G23" s="17" t="s">
        <v>205</v>
      </c>
      <c r="H23" s="18" t="s">
        <v>223</v>
      </c>
      <c r="I23" s="17" t="s">
        <v>224</v>
      </c>
      <c r="J23" s="17" t="s">
        <v>473</v>
      </c>
      <c r="K23" s="16" t="s">
        <v>4</v>
      </c>
      <c r="L23" s="15" t="s">
        <v>111</v>
      </c>
      <c r="M23" s="18" t="s">
        <v>489</v>
      </c>
      <c r="N23" s="17" t="s">
        <v>215</v>
      </c>
      <c r="O23" s="17"/>
    </row>
    <row r="24" spans="1:15" ht="40.5">
      <c r="A24" s="15" t="s">
        <v>225</v>
      </c>
      <c r="B24" s="16" t="s">
        <v>19</v>
      </c>
      <c r="C24" s="17" t="s">
        <v>226</v>
      </c>
      <c r="D24" s="16" t="s">
        <v>227</v>
      </c>
      <c r="E24" s="15" t="s">
        <v>106</v>
      </c>
      <c r="F24" s="20"/>
      <c r="G24" s="18" t="s">
        <v>229</v>
      </c>
      <c r="H24" s="18" t="s">
        <v>228</v>
      </c>
      <c r="I24" s="17" t="s">
        <v>230</v>
      </c>
      <c r="J24" s="17" t="s">
        <v>472</v>
      </c>
      <c r="K24" s="16" t="s">
        <v>4</v>
      </c>
      <c r="L24" s="15" t="s">
        <v>111</v>
      </c>
      <c r="M24" s="18" t="s">
        <v>489</v>
      </c>
      <c r="N24" s="17" t="s">
        <v>232</v>
      </c>
      <c r="O24" s="17"/>
    </row>
    <row r="25" spans="1:15" ht="54">
      <c r="A25" s="15" t="s">
        <v>233</v>
      </c>
      <c r="B25" s="16" t="s">
        <v>19</v>
      </c>
      <c r="C25" s="17" t="s">
        <v>234</v>
      </c>
      <c r="D25" s="16" t="s">
        <v>235</v>
      </c>
      <c r="E25" s="15" t="s">
        <v>236</v>
      </c>
      <c r="F25" s="18" t="s">
        <v>237</v>
      </c>
      <c r="G25" s="18" t="s">
        <v>111</v>
      </c>
      <c r="H25" s="18" t="s">
        <v>238</v>
      </c>
      <c r="I25" s="18" t="s">
        <v>239</v>
      </c>
      <c r="J25" s="18" t="s">
        <v>240</v>
      </c>
      <c r="K25" s="15" t="s">
        <v>4</v>
      </c>
      <c r="L25" s="15" t="s">
        <v>111</v>
      </c>
      <c r="M25" s="18" t="s">
        <v>231</v>
      </c>
      <c r="N25" s="17" t="s">
        <v>241</v>
      </c>
      <c r="O25" s="18" t="s">
        <v>242</v>
      </c>
    </row>
    <row r="26" spans="1:15" ht="34.5" customHeight="1">
      <c r="A26" s="15" t="s">
        <v>243</v>
      </c>
      <c r="B26" s="16" t="s">
        <v>24</v>
      </c>
      <c r="C26" s="17" t="s">
        <v>244</v>
      </c>
      <c r="D26" s="16" t="s">
        <v>245</v>
      </c>
      <c r="E26" s="15" t="s">
        <v>129</v>
      </c>
      <c r="F26" s="17"/>
      <c r="G26" s="17" t="s">
        <v>247</v>
      </c>
      <c r="H26" s="18" t="s">
        <v>246</v>
      </c>
      <c r="I26" s="18" t="s">
        <v>248</v>
      </c>
      <c r="J26" s="18" t="s">
        <v>249</v>
      </c>
      <c r="K26" s="15" t="s">
        <v>4</v>
      </c>
      <c r="L26" s="15" t="s">
        <v>111</v>
      </c>
      <c r="M26" s="18" t="s">
        <v>250</v>
      </c>
      <c r="N26" s="18" t="s">
        <v>251</v>
      </c>
      <c r="O26" s="17" t="s">
        <v>252</v>
      </c>
    </row>
    <row r="27" spans="1:15" ht="34.5" customHeight="1">
      <c r="A27" s="15" t="s">
        <v>253</v>
      </c>
      <c r="B27" s="16" t="s">
        <v>24</v>
      </c>
      <c r="C27" s="17" t="s">
        <v>254</v>
      </c>
      <c r="D27" s="16" t="s">
        <v>255</v>
      </c>
      <c r="E27" s="15" t="s">
        <v>129</v>
      </c>
      <c r="F27" s="17"/>
      <c r="G27" s="17" t="s">
        <v>257</v>
      </c>
      <c r="H27" s="18" t="s">
        <v>256</v>
      </c>
      <c r="I27" s="18" t="s">
        <v>258</v>
      </c>
      <c r="J27" s="17" t="s">
        <v>259</v>
      </c>
      <c r="K27" s="15" t="s">
        <v>4</v>
      </c>
      <c r="L27" s="15" t="s">
        <v>111</v>
      </c>
      <c r="M27" s="18" t="s">
        <v>260</v>
      </c>
      <c r="N27" s="17" t="s">
        <v>261</v>
      </c>
      <c r="O27" s="17"/>
    </row>
    <row r="28" spans="1:15" ht="40.5">
      <c r="A28" s="15" t="s">
        <v>262</v>
      </c>
      <c r="B28" s="16" t="s">
        <v>24</v>
      </c>
      <c r="C28" s="17" t="s">
        <v>263</v>
      </c>
      <c r="D28" s="16" t="s">
        <v>255</v>
      </c>
      <c r="E28" s="15" t="s">
        <v>129</v>
      </c>
      <c r="F28" s="17"/>
      <c r="G28" s="17" t="s">
        <v>265</v>
      </c>
      <c r="H28" s="18" t="s">
        <v>264</v>
      </c>
      <c r="I28" s="18" t="s">
        <v>266</v>
      </c>
      <c r="J28" s="17" t="s">
        <v>259</v>
      </c>
      <c r="K28" s="15" t="s">
        <v>4</v>
      </c>
      <c r="L28" s="15" t="s">
        <v>111</v>
      </c>
      <c r="M28" s="18" t="s">
        <v>267</v>
      </c>
      <c r="N28" s="17" t="s">
        <v>261</v>
      </c>
      <c r="O28" s="17"/>
    </row>
    <row r="29" spans="1:15" ht="36" customHeight="1">
      <c r="A29" s="15" t="s">
        <v>268</v>
      </c>
      <c r="B29" s="16" t="s">
        <v>24</v>
      </c>
      <c r="C29" s="17" t="s">
        <v>269</v>
      </c>
      <c r="D29" s="16" t="s">
        <v>255</v>
      </c>
      <c r="E29" s="15" t="s">
        <v>106</v>
      </c>
      <c r="F29" s="17"/>
      <c r="G29" s="17" t="s">
        <v>271</v>
      </c>
      <c r="H29" s="18" t="s">
        <v>270</v>
      </c>
      <c r="I29" s="18" t="s">
        <v>272</v>
      </c>
      <c r="J29" s="17" t="s">
        <v>495</v>
      </c>
      <c r="K29" s="16" t="s">
        <v>4</v>
      </c>
      <c r="L29" s="15" t="s">
        <v>111</v>
      </c>
      <c r="M29" s="18" t="s">
        <v>519</v>
      </c>
      <c r="N29" s="18" t="s">
        <v>251</v>
      </c>
      <c r="O29" s="17"/>
    </row>
    <row r="30" spans="1:15" ht="36" customHeight="1">
      <c r="A30" s="15" t="s">
        <v>273</v>
      </c>
      <c r="B30" s="16" t="s">
        <v>24</v>
      </c>
      <c r="C30" s="17" t="s">
        <v>274</v>
      </c>
      <c r="D30" s="16" t="s">
        <v>255</v>
      </c>
      <c r="E30" s="15" t="s">
        <v>106</v>
      </c>
      <c r="F30" s="17"/>
      <c r="G30" s="17" t="s">
        <v>275</v>
      </c>
      <c r="H30" s="18" t="s">
        <v>270</v>
      </c>
      <c r="I30" s="18" t="s">
        <v>276</v>
      </c>
      <c r="J30" s="17" t="s">
        <v>496</v>
      </c>
      <c r="K30" s="16" t="s">
        <v>4</v>
      </c>
      <c r="L30" s="15" t="s">
        <v>111</v>
      </c>
      <c r="M30" s="18" t="s">
        <v>519</v>
      </c>
      <c r="N30" s="18" t="s">
        <v>251</v>
      </c>
      <c r="O30" s="17"/>
    </row>
    <row r="31" spans="1:15" ht="36" customHeight="1">
      <c r="A31" s="15" t="s">
        <v>277</v>
      </c>
      <c r="B31" s="16" t="s">
        <v>24</v>
      </c>
      <c r="C31" s="17" t="s">
        <v>278</v>
      </c>
      <c r="D31" s="16" t="s">
        <v>245</v>
      </c>
      <c r="E31" s="15" t="s">
        <v>106</v>
      </c>
      <c r="F31" s="17"/>
      <c r="G31" s="17" t="s">
        <v>247</v>
      </c>
      <c r="H31" s="18" t="s">
        <v>270</v>
      </c>
      <c r="I31" s="18" t="s">
        <v>248</v>
      </c>
      <c r="J31" s="17" t="s">
        <v>497</v>
      </c>
      <c r="K31" s="16" t="s">
        <v>4</v>
      </c>
      <c r="L31" s="15" t="s">
        <v>111</v>
      </c>
      <c r="M31" s="18" t="s">
        <v>519</v>
      </c>
      <c r="N31" s="18" t="s">
        <v>251</v>
      </c>
      <c r="O31" s="17"/>
    </row>
    <row r="32" spans="1:15" ht="36" customHeight="1">
      <c r="A32" s="15" t="s">
        <v>279</v>
      </c>
      <c r="B32" s="16" t="s">
        <v>24</v>
      </c>
      <c r="C32" s="17" t="s">
        <v>280</v>
      </c>
      <c r="D32" s="16" t="s">
        <v>245</v>
      </c>
      <c r="E32" s="15" t="s">
        <v>129</v>
      </c>
      <c r="F32" s="17"/>
      <c r="G32" s="17" t="s">
        <v>281</v>
      </c>
      <c r="H32" s="18" t="s">
        <v>270</v>
      </c>
      <c r="I32" s="18" t="s">
        <v>282</v>
      </c>
      <c r="J32" s="17" t="s">
        <v>498</v>
      </c>
      <c r="K32" s="16" t="s">
        <v>4</v>
      </c>
      <c r="L32" s="15" t="s">
        <v>111</v>
      </c>
      <c r="M32" s="18" t="s">
        <v>519</v>
      </c>
      <c r="N32" s="18" t="s">
        <v>251</v>
      </c>
      <c r="O32" s="17"/>
    </row>
    <row r="33" spans="1:15" ht="36" customHeight="1">
      <c r="A33" s="15" t="s">
        <v>283</v>
      </c>
      <c r="B33" s="16" t="s">
        <v>24</v>
      </c>
      <c r="C33" s="17" t="s">
        <v>284</v>
      </c>
      <c r="D33" s="16" t="s">
        <v>34</v>
      </c>
      <c r="E33" s="15" t="s">
        <v>129</v>
      </c>
      <c r="F33" s="17"/>
      <c r="G33" s="18" t="s">
        <v>285</v>
      </c>
      <c r="H33" s="18" t="s">
        <v>270</v>
      </c>
      <c r="I33" s="17" t="s">
        <v>286</v>
      </c>
      <c r="J33" s="39" t="s">
        <v>499</v>
      </c>
      <c r="K33" s="16" t="s">
        <v>4</v>
      </c>
      <c r="L33" s="15" t="s">
        <v>111</v>
      </c>
      <c r="M33" s="18" t="s">
        <v>519</v>
      </c>
      <c r="N33" s="18" t="s">
        <v>251</v>
      </c>
      <c r="O33" s="17"/>
    </row>
    <row r="34" spans="1:15" ht="36" customHeight="1">
      <c r="A34" s="15" t="s">
        <v>287</v>
      </c>
      <c r="B34" s="16" t="s">
        <v>24</v>
      </c>
      <c r="C34" s="17" t="s">
        <v>288</v>
      </c>
      <c r="D34" s="16" t="s">
        <v>289</v>
      </c>
      <c r="E34" s="15" t="s">
        <v>106</v>
      </c>
      <c r="F34" s="17"/>
      <c r="G34" s="17" t="s">
        <v>290</v>
      </c>
      <c r="H34" s="18" t="s">
        <v>270</v>
      </c>
      <c r="I34" s="18" t="s">
        <v>503</v>
      </c>
      <c r="J34" s="17" t="s">
        <v>517</v>
      </c>
      <c r="K34" s="16" t="s">
        <v>4</v>
      </c>
      <c r="L34" s="15" t="s">
        <v>111</v>
      </c>
      <c r="M34" s="18" t="s">
        <v>519</v>
      </c>
      <c r="N34" s="18" t="s">
        <v>251</v>
      </c>
      <c r="O34" s="17"/>
    </row>
    <row r="35" spans="1:15" ht="51.75" customHeight="1">
      <c r="A35" s="15" t="s">
        <v>291</v>
      </c>
      <c r="B35" s="16" t="s">
        <v>24</v>
      </c>
      <c r="C35" s="17" t="s">
        <v>292</v>
      </c>
      <c r="D35" s="16" t="s">
        <v>34</v>
      </c>
      <c r="E35" s="15" t="s">
        <v>106</v>
      </c>
      <c r="F35" s="17"/>
      <c r="G35" s="18" t="s">
        <v>111</v>
      </c>
      <c r="H35" s="18" t="s">
        <v>293</v>
      </c>
      <c r="I35" s="17" t="s">
        <v>294</v>
      </c>
      <c r="J35" s="17" t="s">
        <v>295</v>
      </c>
      <c r="K35" s="15" t="s">
        <v>4</v>
      </c>
      <c r="L35" s="15" t="s">
        <v>111</v>
      </c>
      <c r="M35" s="17" t="s">
        <v>296</v>
      </c>
      <c r="N35" s="17" t="s">
        <v>297</v>
      </c>
      <c r="O35" s="17"/>
    </row>
    <row r="36" spans="1:15" ht="54.75" customHeight="1">
      <c r="A36" s="15" t="s">
        <v>298</v>
      </c>
      <c r="B36" s="16" t="s">
        <v>24</v>
      </c>
      <c r="C36" s="17" t="s">
        <v>299</v>
      </c>
      <c r="D36" s="16" t="s">
        <v>203</v>
      </c>
      <c r="E36" s="15" t="s">
        <v>106</v>
      </c>
      <c r="F36" s="17" t="s">
        <v>300</v>
      </c>
      <c r="G36" s="18" t="s">
        <v>111</v>
      </c>
      <c r="H36" s="18" t="s">
        <v>301</v>
      </c>
      <c r="I36" s="18" t="s">
        <v>302</v>
      </c>
      <c r="J36" s="18" t="s">
        <v>302</v>
      </c>
      <c r="K36" s="15" t="s">
        <v>4</v>
      </c>
      <c r="L36" s="15" t="s">
        <v>111</v>
      </c>
      <c r="M36" s="17" t="s">
        <v>303</v>
      </c>
      <c r="N36" s="17" t="s">
        <v>297</v>
      </c>
      <c r="O36" s="17"/>
    </row>
    <row r="37" spans="1:15" ht="27">
      <c r="A37" s="15" t="s">
        <v>304</v>
      </c>
      <c r="B37" s="16" t="s">
        <v>24</v>
      </c>
      <c r="C37" s="17" t="s">
        <v>305</v>
      </c>
      <c r="D37" s="16" t="s">
        <v>203</v>
      </c>
      <c r="E37" s="15" t="s">
        <v>106</v>
      </c>
      <c r="F37" s="18" t="s">
        <v>306</v>
      </c>
      <c r="G37" s="18" t="s">
        <v>111</v>
      </c>
      <c r="H37" s="18" t="s">
        <v>307</v>
      </c>
      <c r="I37" s="18" t="s">
        <v>308</v>
      </c>
      <c r="J37" s="18" t="s">
        <v>309</v>
      </c>
      <c r="K37" s="15" t="s">
        <v>4</v>
      </c>
      <c r="L37" s="15" t="s">
        <v>111</v>
      </c>
      <c r="M37" s="17" t="s">
        <v>303</v>
      </c>
      <c r="N37" s="17" t="s">
        <v>297</v>
      </c>
      <c r="O37" s="17"/>
    </row>
    <row r="38" spans="1:15" ht="40.5">
      <c r="A38" s="15" t="s">
        <v>310</v>
      </c>
      <c r="B38" s="16" t="s">
        <v>29</v>
      </c>
      <c r="C38" s="17" t="s">
        <v>244</v>
      </c>
      <c r="D38" s="16" t="s">
        <v>245</v>
      </c>
      <c r="E38" s="15" t="s">
        <v>129</v>
      </c>
      <c r="F38" s="17"/>
      <c r="G38" s="18" t="s">
        <v>312</v>
      </c>
      <c r="H38" s="18" t="s">
        <v>311</v>
      </c>
      <c r="I38" s="18" t="s">
        <v>313</v>
      </c>
      <c r="J38" s="18" t="s">
        <v>314</v>
      </c>
      <c r="K38" s="15" t="s">
        <v>4</v>
      </c>
      <c r="L38" s="15" t="s">
        <v>111</v>
      </c>
      <c r="M38" s="18" t="s">
        <v>490</v>
      </c>
      <c r="N38" s="17" t="s">
        <v>315</v>
      </c>
      <c r="O38" s="17"/>
    </row>
    <row r="39" spans="1:15" ht="40.5">
      <c r="A39" s="15" t="s">
        <v>316</v>
      </c>
      <c r="B39" s="16" t="s">
        <v>29</v>
      </c>
      <c r="C39" s="17" t="s">
        <v>317</v>
      </c>
      <c r="D39" s="16" t="s">
        <v>318</v>
      </c>
      <c r="E39" s="15" t="s">
        <v>129</v>
      </c>
      <c r="F39" s="17"/>
      <c r="G39" s="17" t="s">
        <v>320</v>
      </c>
      <c r="H39" s="18" t="s">
        <v>319</v>
      </c>
      <c r="I39" s="17" t="s">
        <v>321</v>
      </c>
      <c r="J39" s="17" t="s">
        <v>322</v>
      </c>
      <c r="K39" s="15" t="s">
        <v>4</v>
      </c>
      <c r="L39" s="15" t="s">
        <v>58</v>
      </c>
      <c r="M39" s="18" t="s">
        <v>491</v>
      </c>
      <c r="N39" s="17" t="s">
        <v>323</v>
      </c>
      <c r="O39" s="17" t="s">
        <v>324</v>
      </c>
    </row>
    <row r="40" spans="1:15" ht="40.5">
      <c r="A40" s="15" t="s">
        <v>325</v>
      </c>
      <c r="B40" s="16" t="s">
        <v>29</v>
      </c>
      <c r="C40" s="17" t="s">
        <v>263</v>
      </c>
      <c r="D40" s="16" t="s">
        <v>255</v>
      </c>
      <c r="E40" s="15" t="s">
        <v>129</v>
      </c>
      <c r="F40" s="17"/>
      <c r="G40" s="17" t="s">
        <v>327</v>
      </c>
      <c r="H40" s="18" t="s">
        <v>326</v>
      </c>
      <c r="I40" s="18" t="s">
        <v>328</v>
      </c>
      <c r="J40" s="17" t="s">
        <v>329</v>
      </c>
      <c r="K40" s="15" t="s">
        <v>4</v>
      </c>
      <c r="L40" s="15" t="s">
        <v>111</v>
      </c>
      <c r="M40" s="18" t="s">
        <v>492</v>
      </c>
      <c r="N40" s="17" t="s">
        <v>315</v>
      </c>
      <c r="O40" s="17"/>
    </row>
    <row r="41" spans="1:15" ht="27">
      <c r="A41" s="15" t="s">
        <v>330</v>
      </c>
      <c r="B41" s="16" t="s">
        <v>29</v>
      </c>
      <c r="C41" s="17" t="s">
        <v>254</v>
      </c>
      <c r="D41" s="16" t="s">
        <v>255</v>
      </c>
      <c r="E41" s="15" t="s">
        <v>106</v>
      </c>
      <c r="F41" s="17"/>
      <c r="G41" s="17" t="s">
        <v>331</v>
      </c>
      <c r="H41" s="18" t="s">
        <v>326</v>
      </c>
      <c r="I41" s="18" t="s">
        <v>332</v>
      </c>
      <c r="J41" s="17" t="s">
        <v>488</v>
      </c>
      <c r="K41" s="16" t="s">
        <v>4</v>
      </c>
      <c r="L41" s="15" t="s">
        <v>111</v>
      </c>
      <c r="M41" s="18" t="s">
        <v>493</v>
      </c>
      <c r="N41" s="17" t="s">
        <v>315</v>
      </c>
      <c r="O41" s="17" t="s">
        <v>333</v>
      </c>
    </row>
    <row r="42" spans="1:15" ht="40.5">
      <c r="A42" s="15" t="s">
        <v>334</v>
      </c>
      <c r="B42" s="16" t="s">
        <v>34</v>
      </c>
      <c r="C42" s="17" t="s">
        <v>335</v>
      </c>
      <c r="D42" s="16" t="s">
        <v>34</v>
      </c>
      <c r="E42" s="15" t="s">
        <v>129</v>
      </c>
      <c r="F42" s="17"/>
      <c r="G42" s="17" t="s">
        <v>337</v>
      </c>
      <c r="H42" s="18" t="s">
        <v>336</v>
      </c>
      <c r="I42" s="18" t="s">
        <v>338</v>
      </c>
      <c r="J42" s="18" t="s">
        <v>339</v>
      </c>
      <c r="K42" s="15" t="s">
        <v>4</v>
      </c>
      <c r="L42" s="15" t="s">
        <v>111</v>
      </c>
      <c r="M42" s="18" t="s">
        <v>494</v>
      </c>
      <c r="N42" s="17" t="s">
        <v>340</v>
      </c>
      <c r="O42" s="17"/>
    </row>
    <row r="43" spans="1:15" ht="27">
      <c r="A43" s="15" t="s">
        <v>341</v>
      </c>
      <c r="B43" s="16" t="s">
        <v>34</v>
      </c>
      <c r="C43" s="17" t="s">
        <v>342</v>
      </c>
      <c r="D43" s="16" t="s">
        <v>318</v>
      </c>
      <c r="E43" s="15" t="s">
        <v>106</v>
      </c>
      <c r="F43" s="17"/>
      <c r="G43" s="17" t="s">
        <v>320</v>
      </c>
      <c r="H43" s="18" t="s">
        <v>343</v>
      </c>
      <c r="I43" s="17" t="s">
        <v>344</v>
      </c>
      <c r="J43" s="18" t="s">
        <v>345</v>
      </c>
      <c r="K43" s="15" t="s">
        <v>4</v>
      </c>
      <c r="L43" s="15" t="s">
        <v>58</v>
      </c>
      <c r="M43" s="17" t="s">
        <v>296</v>
      </c>
      <c r="N43" s="17" t="s">
        <v>346</v>
      </c>
      <c r="O43" s="17"/>
    </row>
    <row r="44" spans="1:15" ht="54">
      <c r="A44" s="15" t="s">
        <v>347</v>
      </c>
      <c r="B44" s="16" t="s">
        <v>38</v>
      </c>
      <c r="C44" s="17" t="s">
        <v>348</v>
      </c>
      <c r="D44" s="16" t="s">
        <v>245</v>
      </c>
      <c r="E44" s="15" t="s">
        <v>129</v>
      </c>
      <c r="F44" s="17"/>
      <c r="G44" s="17" t="s">
        <v>350</v>
      </c>
      <c r="H44" s="18" t="s">
        <v>349</v>
      </c>
      <c r="I44" s="18" t="s">
        <v>351</v>
      </c>
      <c r="J44" s="17" t="s">
        <v>329</v>
      </c>
      <c r="K44" s="15" t="s">
        <v>4</v>
      </c>
      <c r="L44" s="15" t="s">
        <v>111</v>
      </c>
      <c r="M44" s="18" t="s">
        <v>500</v>
      </c>
      <c r="N44" s="17" t="s">
        <v>261</v>
      </c>
      <c r="O44" s="17" t="s">
        <v>352</v>
      </c>
    </row>
    <row r="45" spans="1:15" ht="27">
      <c r="A45" s="15" t="s">
        <v>353</v>
      </c>
      <c r="B45" s="16" t="s">
        <v>42</v>
      </c>
      <c r="C45" s="17" t="s">
        <v>354</v>
      </c>
      <c r="D45" s="16" t="s">
        <v>245</v>
      </c>
      <c r="E45" s="15" t="s">
        <v>129</v>
      </c>
      <c r="F45" s="17"/>
      <c r="G45" s="17" t="s">
        <v>356</v>
      </c>
      <c r="H45" s="18" t="s">
        <v>355</v>
      </c>
      <c r="I45" s="18" t="s">
        <v>357</v>
      </c>
      <c r="J45" s="17" t="s">
        <v>475</v>
      </c>
      <c r="K45" s="16" t="s">
        <v>4</v>
      </c>
      <c r="L45" s="15" t="s">
        <v>111</v>
      </c>
      <c r="M45" s="18" t="s">
        <v>501</v>
      </c>
      <c r="N45" s="17" t="s">
        <v>358</v>
      </c>
      <c r="O45" s="17" t="s">
        <v>359</v>
      </c>
    </row>
    <row r="46" spans="1:15" ht="41.25" customHeight="1">
      <c r="A46" s="15" t="s">
        <v>360</v>
      </c>
      <c r="B46" s="16" t="s">
        <v>42</v>
      </c>
      <c r="C46" s="18" t="s">
        <v>361</v>
      </c>
      <c r="D46" s="16" t="s">
        <v>235</v>
      </c>
      <c r="E46" s="15" t="s">
        <v>129</v>
      </c>
      <c r="F46" s="17"/>
      <c r="G46" s="17" t="s">
        <v>363</v>
      </c>
      <c r="H46" s="18" t="s">
        <v>362</v>
      </c>
      <c r="I46" s="17" t="s">
        <v>364</v>
      </c>
      <c r="J46" s="18" t="s">
        <v>365</v>
      </c>
      <c r="K46" s="15" t="s">
        <v>5</v>
      </c>
      <c r="L46" s="15" t="s">
        <v>73</v>
      </c>
      <c r="M46" s="18" t="s">
        <v>502</v>
      </c>
      <c r="N46" s="17" t="s">
        <v>358</v>
      </c>
      <c r="O46" s="17"/>
    </row>
    <row r="47" spans="1:15" ht="40.5">
      <c r="A47" s="15" t="s">
        <v>366</v>
      </c>
      <c r="B47" s="16" t="s">
        <v>42</v>
      </c>
      <c r="C47" s="17" t="s">
        <v>367</v>
      </c>
      <c r="D47" s="16" t="s">
        <v>255</v>
      </c>
      <c r="E47" s="15" t="s">
        <v>129</v>
      </c>
      <c r="F47" s="17"/>
      <c r="G47" s="18" t="s">
        <v>369</v>
      </c>
      <c r="H47" s="18" t="s">
        <v>368</v>
      </c>
      <c r="I47" s="18" t="s">
        <v>370</v>
      </c>
      <c r="J47" s="17" t="s">
        <v>476</v>
      </c>
      <c r="K47" s="16" t="s">
        <v>4</v>
      </c>
      <c r="L47" s="15" t="s">
        <v>63</v>
      </c>
      <c r="M47" s="18" t="s">
        <v>501</v>
      </c>
      <c r="N47" s="17" t="s">
        <v>371</v>
      </c>
      <c r="O47" s="18" t="s">
        <v>474</v>
      </c>
    </row>
    <row r="48" spans="1:15" ht="40.5">
      <c r="A48" s="15" t="s">
        <v>373</v>
      </c>
      <c r="B48" s="16" t="s">
        <v>42</v>
      </c>
      <c r="C48" s="17" t="s">
        <v>374</v>
      </c>
      <c r="D48" s="16" t="s">
        <v>255</v>
      </c>
      <c r="E48" s="15" t="s">
        <v>129</v>
      </c>
      <c r="F48" s="17"/>
      <c r="G48" s="18" t="s">
        <v>375</v>
      </c>
      <c r="H48" s="18" t="s">
        <v>368</v>
      </c>
      <c r="I48" s="18" t="s">
        <v>370</v>
      </c>
      <c r="J48" s="17" t="s">
        <v>477</v>
      </c>
      <c r="K48" s="16" t="s">
        <v>4</v>
      </c>
      <c r="L48" s="15" t="s">
        <v>63</v>
      </c>
      <c r="M48" s="18" t="s">
        <v>501</v>
      </c>
      <c r="N48" s="17" t="s">
        <v>371</v>
      </c>
      <c r="O48" s="18" t="s">
        <v>372</v>
      </c>
    </row>
    <row r="49" spans="1:15" ht="40.5">
      <c r="A49" s="15" t="s">
        <v>376</v>
      </c>
      <c r="B49" s="16" t="s">
        <v>42</v>
      </c>
      <c r="C49" s="17" t="s">
        <v>377</v>
      </c>
      <c r="D49" s="16" t="s">
        <v>255</v>
      </c>
      <c r="E49" s="15" t="s">
        <v>129</v>
      </c>
      <c r="F49" s="17"/>
      <c r="G49" s="17" t="s">
        <v>378</v>
      </c>
      <c r="H49" s="18" t="s">
        <v>368</v>
      </c>
      <c r="I49" s="18" t="s">
        <v>379</v>
      </c>
      <c r="J49" s="17" t="s">
        <v>478</v>
      </c>
      <c r="K49" s="16" t="s">
        <v>4</v>
      </c>
      <c r="L49" s="15" t="s">
        <v>111</v>
      </c>
      <c r="M49" s="18" t="s">
        <v>501</v>
      </c>
      <c r="N49" s="17" t="s">
        <v>380</v>
      </c>
      <c r="O49" s="17"/>
    </row>
    <row r="50" spans="1:15" ht="40.5">
      <c r="A50" s="15" t="s">
        <v>381</v>
      </c>
      <c r="B50" s="16" t="s">
        <v>42</v>
      </c>
      <c r="C50" s="17" t="s">
        <v>382</v>
      </c>
      <c r="D50" s="16" t="s">
        <v>255</v>
      </c>
      <c r="E50" s="15" t="s">
        <v>106</v>
      </c>
      <c r="F50" s="17"/>
      <c r="G50" s="18" t="s">
        <v>383</v>
      </c>
      <c r="H50" s="18" t="s">
        <v>368</v>
      </c>
      <c r="I50" s="18" t="s">
        <v>479</v>
      </c>
      <c r="J50" s="17" t="s">
        <v>482</v>
      </c>
      <c r="K50" s="16" t="s">
        <v>4</v>
      </c>
      <c r="L50" s="15" t="s">
        <v>111</v>
      </c>
      <c r="M50" s="18" t="s">
        <v>501</v>
      </c>
      <c r="N50" s="17" t="s">
        <v>380</v>
      </c>
      <c r="O50" s="17"/>
    </row>
    <row r="51" spans="1:15" ht="40.5">
      <c r="A51" s="15" t="s">
        <v>385</v>
      </c>
      <c r="B51" s="16" t="s">
        <v>42</v>
      </c>
      <c r="C51" s="17" t="s">
        <v>386</v>
      </c>
      <c r="D51" s="16" t="s">
        <v>227</v>
      </c>
      <c r="E51" s="15" t="s">
        <v>106</v>
      </c>
      <c r="F51" s="17"/>
      <c r="G51" s="18" t="s">
        <v>387</v>
      </c>
      <c r="H51" s="18" t="s">
        <v>368</v>
      </c>
      <c r="I51" s="18" t="s">
        <v>388</v>
      </c>
      <c r="J51" s="17" t="s">
        <v>481</v>
      </c>
      <c r="K51" s="16" t="s">
        <v>4</v>
      </c>
      <c r="L51" s="15" t="s">
        <v>111</v>
      </c>
      <c r="M51" s="18" t="s">
        <v>501</v>
      </c>
      <c r="N51" s="17" t="s">
        <v>380</v>
      </c>
      <c r="O51" s="17"/>
    </row>
    <row r="52" spans="1:15" ht="40.5">
      <c r="A52" s="15" t="s">
        <v>389</v>
      </c>
      <c r="B52" s="16" t="s">
        <v>42</v>
      </c>
      <c r="C52" s="17" t="s">
        <v>390</v>
      </c>
      <c r="D52" s="16" t="s">
        <v>227</v>
      </c>
      <c r="E52" s="15" t="s">
        <v>106</v>
      </c>
      <c r="F52" s="17"/>
      <c r="G52" s="18" t="s">
        <v>391</v>
      </c>
      <c r="H52" s="18" t="s">
        <v>368</v>
      </c>
      <c r="I52" s="18" t="s">
        <v>388</v>
      </c>
      <c r="J52" s="17" t="s">
        <v>480</v>
      </c>
      <c r="K52" s="16" t="s">
        <v>4</v>
      </c>
      <c r="L52" s="15" t="s">
        <v>111</v>
      </c>
      <c r="M52" s="18" t="s">
        <v>501</v>
      </c>
      <c r="N52" s="17" t="s">
        <v>380</v>
      </c>
      <c r="O52" s="17"/>
    </row>
    <row r="53" spans="1:15" ht="40.5">
      <c r="A53" s="15" t="s">
        <v>392</v>
      </c>
      <c r="B53" s="16" t="s">
        <v>42</v>
      </c>
      <c r="C53" s="17" t="s">
        <v>393</v>
      </c>
      <c r="D53" s="16" t="s">
        <v>255</v>
      </c>
      <c r="E53" s="15" t="s">
        <v>106</v>
      </c>
      <c r="F53" s="17"/>
      <c r="G53" s="18" t="s">
        <v>394</v>
      </c>
      <c r="H53" s="18" t="s">
        <v>368</v>
      </c>
      <c r="I53" s="18" t="s">
        <v>384</v>
      </c>
      <c r="J53" s="17" t="s">
        <v>483</v>
      </c>
      <c r="K53" s="16" t="s">
        <v>4</v>
      </c>
      <c r="L53" s="15" t="s">
        <v>111</v>
      </c>
      <c r="M53" s="18" t="s">
        <v>501</v>
      </c>
      <c r="N53" s="17" t="s">
        <v>380</v>
      </c>
      <c r="O53" s="17"/>
    </row>
    <row r="54" spans="1:15" ht="40.5">
      <c r="A54" s="15" t="s">
        <v>395</v>
      </c>
      <c r="B54" s="16" t="s">
        <v>42</v>
      </c>
      <c r="C54" s="17" t="s">
        <v>396</v>
      </c>
      <c r="D54" s="16" t="s">
        <v>255</v>
      </c>
      <c r="E54" s="15" t="s">
        <v>106</v>
      </c>
      <c r="F54" s="17"/>
      <c r="G54" s="17" t="s">
        <v>397</v>
      </c>
      <c r="H54" s="18" t="s">
        <v>368</v>
      </c>
      <c r="I54" s="18" t="s">
        <v>398</v>
      </c>
      <c r="J54" s="17" t="s">
        <v>484</v>
      </c>
      <c r="K54" s="16" t="s">
        <v>4</v>
      </c>
      <c r="L54" s="15" t="s">
        <v>111</v>
      </c>
      <c r="M54" s="18" t="s">
        <v>501</v>
      </c>
      <c r="N54" s="17" t="s">
        <v>380</v>
      </c>
      <c r="O54" s="17"/>
    </row>
    <row r="55" spans="1:15" ht="40.5">
      <c r="A55" s="15" t="s">
        <v>399</v>
      </c>
      <c r="B55" s="16" t="s">
        <v>42</v>
      </c>
      <c r="C55" s="17" t="s">
        <v>400</v>
      </c>
      <c r="D55" s="16" t="s">
        <v>227</v>
      </c>
      <c r="E55" s="15" t="s">
        <v>106</v>
      </c>
      <c r="F55" s="17"/>
      <c r="G55" s="17" t="s">
        <v>401</v>
      </c>
      <c r="H55" s="18" t="s">
        <v>368</v>
      </c>
      <c r="I55" s="18" t="s">
        <v>388</v>
      </c>
      <c r="J55" s="17" t="s">
        <v>485</v>
      </c>
      <c r="K55" s="16" t="s">
        <v>4</v>
      </c>
      <c r="L55" s="15" t="s">
        <v>111</v>
      </c>
      <c r="M55" s="18" t="s">
        <v>501</v>
      </c>
      <c r="N55" s="17" t="s">
        <v>380</v>
      </c>
      <c r="O55" s="17"/>
    </row>
    <row r="56" spans="1:15" ht="40.5">
      <c r="A56" s="15" t="s">
        <v>402</v>
      </c>
      <c r="B56" s="16" t="s">
        <v>505</v>
      </c>
      <c r="C56" s="17" t="s">
        <v>403</v>
      </c>
      <c r="D56" s="16" t="s">
        <v>255</v>
      </c>
      <c r="E56" s="15" t="s">
        <v>106</v>
      </c>
      <c r="F56" s="17"/>
      <c r="G56" s="17" t="s">
        <v>404</v>
      </c>
      <c r="H56" s="18" t="s">
        <v>368</v>
      </c>
      <c r="I56" s="18" t="s">
        <v>405</v>
      </c>
      <c r="J56" s="17" t="s">
        <v>486</v>
      </c>
      <c r="K56" s="16" t="s">
        <v>4</v>
      </c>
      <c r="L56" s="15" t="s">
        <v>111</v>
      </c>
      <c r="M56" s="18" t="s">
        <v>501</v>
      </c>
      <c r="N56" s="17" t="s">
        <v>380</v>
      </c>
      <c r="O56" s="17"/>
    </row>
    <row r="57" spans="1:15" ht="39.75">
      <c r="A57" s="15" t="s">
        <v>406</v>
      </c>
      <c r="B57" s="16" t="s">
        <v>38</v>
      </c>
      <c r="C57" s="18" t="s">
        <v>407</v>
      </c>
      <c r="D57" s="16" t="s">
        <v>408</v>
      </c>
      <c r="E57" s="15" t="s">
        <v>106</v>
      </c>
      <c r="F57" s="17"/>
      <c r="G57" s="17" t="s">
        <v>409</v>
      </c>
      <c r="H57" s="18" t="s">
        <v>511</v>
      </c>
      <c r="I57" s="17" t="s">
        <v>410</v>
      </c>
      <c r="J57" s="17" t="s">
        <v>487</v>
      </c>
      <c r="K57" s="16" t="s">
        <v>5</v>
      </c>
      <c r="L57" s="15" t="s">
        <v>68</v>
      </c>
      <c r="M57" s="18" t="s">
        <v>501</v>
      </c>
      <c r="N57" s="17" t="s">
        <v>371</v>
      </c>
      <c r="O57" s="18" t="s">
        <v>411</v>
      </c>
    </row>
    <row r="58" spans="1:15" ht="46.5" customHeight="1">
      <c r="A58" s="15" t="s">
        <v>504</v>
      </c>
      <c r="B58" s="16" t="s">
        <v>506</v>
      </c>
      <c r="C58" s="18" t="s">
        <v>507</v>
      </c>
      <c r="D58" s="40" t="s">
        <v>508</v>
      </c>
      <c r="E58" s="15" t="s">
        <v>509</v>
      </c>
      <c r="F58" s="17"/>
      <c r="G58" s="17" t="s">
        <v>510</v>
      </c>
      <c r="H58" s="18" t="s">
        <v>512</v>
      </c>
      <c r="I58" s="17" t="s">
        <v>513</v>
      </c>
      <c r="J58" s="17" t="s">
        <v>518</v>
      </c>
      <c r="K58" s="16" t="s">
        <v>4</v>
      </c>
      <c r="L58" s="15" t="s">
        <v>515</v>
      </c>
      <c r="M58" s="18" t="s">
        <v>514</v>
      </c>
      <c r="N58" s="17" t="s">
        <v>516</v>
      </c>
      <c r="O58" s="18"/>
    </row>
    <row r="59" spans="1:15" ht="27">
      <c r="A59" s="15" t="s">
        <v>412</v>
      </c>
      <c r="B59" s="16" t="s">
        <v>45</v>
      </c>
      <c r="C59" s="17" t="s">
        <v>413</v>
      </c>
      <c r="D59" s="16" t="s">
        <v>414</v>
      </c>
      <c r="E59" s="15" t="s">
        <v>129</v>
      </c>
      <c r="F59" s="17" t="s">
        <v>415</v>
      </c>
      <c r="G59" s="17" t="s">
        <v>417</v>
      </c>
      <c r="H59" s="18" t="s">
        <v>416</v>
      </c>
      <c r="I59" s="17" t="s">
        <v>418</v>
      </c>
      <c r="J59" s="17" t="s">
        <v>419</v>
      </c>
      <c r="K59" s="15" t="s">
        <v>4</v>
      </c>
      <c r="L59" s="15" t="s">
        <v>65</v>
      </c>
      <c r="M59" s="17" t="s">
        <v>420</v>
      </c>
      <c r="N59" s="17" t="s">
        <v>421</v>
      </c>
      <c r="O59" s="17" t="s">
        <v>422</v>
      </c>
    </row>
    <row r="60" spans="1:15" ht="27">
      <c r="A60" s="15" t="s">
        <v>423</v>
      </c>
      <c r="B60" s="16" t="s">
        <v>45</v>
      </c>
      <c r="C60" s="17" t="s">
        <v>424</v>
      </c>
      <c r="D60" s="16" t="s">
        <v>425</v>
      </c>
      <c r="E60" s="15" t="s">
        <v>106</v>
      </c>
      <c r="F60" s="17" t="s">
        <v>415</v>
      </c>
      <c r="G60" s="18" t="s">
        <v>426</v>
      </c>
      <c r="H60" s="18" t="s">
        <v>520</v>
      </c>
      <c r="I60" s="17" t="s">
        <v>427</v>
      </c>
      <c r="J60" s="17" t="s">
        <v>521</v>
      </c>
      <c r="K60" s="16" t="s">
        <v>4</v>
      </c>
      <c r="L60" s="15" t="s">
        <v>111</v>
      </c>
      <c r="M60" s="17" t="s">
        <v>523</v>
      </c>
      <c r="N60" s="17" t="s">
        <v>421</v>
      </c>
      <c r="O60" s="18" t="s">
        <v>428</v>
      </c>
    </row>
    <row r="61" spans="1:15">
      <c r="A61" s="15" t="s">
        <v>429</v>
      </c>
      <c r="B61" s="16" t="s">
        <v>45</v>
      </c>
      <c r="C61" s="17" t="s">
        <v>430</v>
      </c>
      <c r="D61" s="16" t="s">
        <v>431</v>
      </c>
      <c r="E61" s="15" t="s">
        <v>106</v>
      </c>
      <c r="F61" s="17" t="s">
        <v>415</v>
      </c>
      <c r="G61" s="17" t="s">
        <v>263</v>
      </c>
      <c r="H61" s="17" t="s">
        <v>432</v>
      </c>
      <c r="I61" s="17" t="s">
        <v>433</v>
      </c>
      <c r="J61" s="17" t="s">
        <v>434</v>
      </c>
      <c r="K61" s="15" t="s">
        <v>4</v>
      </c>
      <c r="L61" s="15" t="s">
        <v>111</v>
      </c>
      <c r="M61" s="17" t="s">
        <v>435</v>
      </c>
      <c r="N61" s="17" t="s">
        <v>436</v>
      </c>
      <c r="O61" s="17"/>
    </row>
    <row r="62" spans="1:15" ht="40.5">
      <c r="A62" s="15" t="s">
        <v>437</v>
      </c>
      <c r="B62" s="16" t="s">
        <v>45</v>
      </c>
      <c r="C62" s="17" t="s">
        <v>133</v>
      </c>
      <c r="D62" s="16" t="s">
        <v>245</v>
      </c>
      <c r="E62" s="15" t="s">
        <v>129</v>
      </c>
      <c r="F62" s="17" t="s">
        <v>415</v>
      </c>
      <c r="G62" s="17" t="s">
        <v>439</v>
      </c>
      <c r="H62" s="18" t="s">
        <v>438</v>
      </c>
      <c r="I62" s="18" t="s">
        <v>440</v>
      </c>
      <c r="J62" s="18" t="s">
        <v>441</v>
      </c>
      <c r="K62" s="15" t="s">
        <v>4</v>
      </c>
      <c r="L62" s="15" t="s">
        <v>111</v>
      </c>
      <c r="M62" s="18" t="s">
        <v>442</v>
      </c>
      <c r="N62" s="17" t="s">
        <v>140</v>
      </c>
      <c r="O62" s="17"/>
    </row>
    <row r="63" spans="1:15" ht="39.75">
      <c r="A63" s="15" t="s">
        <v>443</v>
      </c>
      <c r="B63" s="16" t="s">
        <v>45</v>
      </c>
      <c r="C63" s="17" t="s">
        <v>444</v>
      </c>
      <c r="D63" s="16" t="s">
        <v>255</v>
      </c>
      <c r="E63" s="15" t="s">
        <v>106</v>
      </c>
      <c r="F63" s="17" t="s">
        <v>415</v>
      </c>
      <c r="G63" s="18" t="s">
        <v>446</v>
      </c>
      <c r="H63" s="17" t="s">
        <v>445</v>
      </c>
      <c r="I63" s="18" t="s">
        <v>447</v>
      </c>
      <c r="J63" s="17" t="s">
        <v>522</v>
      </c>
      <c r="K63" s="16" t="s">
        <v>4</v>
      </c>
      <c r="L63" s="15" t="s">
        <v>111</v>
      </c>
      <c r="M63" s="18" t="s">
        <v>524</v>
      </c>
      <c r="N63" s="17" t="s">
        <v>448</v>
      </c>
      <c r="O63" s="17"/>
    </row>
    <row r="64" spans="1:15" ht="27">
      <c r="A64" s="15" t="s">
        <v>449</v>
      </c>
      <c r="B64" s="16" t="s">
        <v>45</v>
      </c>
      <c r="C64" s="17" t="s">
        <v>450</v>
      </c>
      <c r="D64" s="16" t="s">
        <v>203</v>
      </c>
      <c r="E64" s="15" t="s">
        <v>106</v>
      </c>
      <c r="F64" s="20" t="s">
        <v>451</v>
      </c>
      <c r="G64" s="17" t="s">
        <v>453</v>
      </c>
      <c r="H64" s="18" t="s">
        <v>452</v>
      </c>
      <c r="I64" s="17" t="s">
        <v>454</v>
      </c>
      <c r="J64" s="17" t="s">
        <v>454</v>
      </c>
      <c r="K64" s="16" t="s">
        <v>4</v>
      </c>
      <c r="L64" s="15" t="s">
        <v>111</v>
      </c>
      <c r="M64" s="18" t="s">
        <v>524</v>
      </c>
      <c r="N64" s="17" t="s">
        <v>455</v>
      </c>
      <c r="O64" s="17"/>
    </row>
    <row r="65" spans="1:15" ht="26.25">
      <c r="A65" s="15" t="s">
        <v>456</v>
      </c>
      <c r="B65" s="16" t="s">
        <v>49</v>
      </c>
      <c r="C65" s="17" t="s">
        <v>457</v>
      </c>
      <c r="D65" s="16" t="s">
        <v>458</v>
      </c>
      <c r="E65" s="15" t="s">
        <v>129</v>
      </c>
      <c r="F65" s="17" t="s">
        <v>459</v>
      </c>
      <c r="G65" s="17" t="s">
        <v>461</v>
      </c>
      <c r="H65" s="17" t="s">
        <v>460</v>
      </c>
      <c r="I65" s="17" t="s">
        <v>462</v>
      </c>
      <c r="J65" s="17"/>
      <c r="K65" s="16" t="s">
        <v>7</v>
      </c>
      <c r="L65" s="15" t="s">
        <v>111</v>
      </c>
      <c r="M65" s="17" t="s">
        <v>463</v>
      </c>
      <c r="N65" s="17" t="s">
        <v>455</v>
      </c>
      <c r="O65" s="17" t="s">
        <v>525</v>
      </c>
    </row>
    <row r="66" spans="1:15" ht="26.25">
      <c r="A66" s="15" t="s">
        <v>464</v>
      </c>
      <c r="B66" s="16" t="s">
        <v>49</v>
      </c>
      <c r="C66" s="17" t="s">
        <v>465</v>
      </c>
      <c r="D66" s="16" t="s">
        <v>466</v>
      </c>
      <c r="E66" s="15" t="s">
        <v>106</v>
      </c>
      <c r="F66" s="17" t="s">
        <v>467</v>
      </c>
      <c r="G66" s="18" t="s">
        <v>469</v>
      </c>
      <c r="H66" s="17" t="s">
        <v>468</v>
      </c>
      <c r="I66" s="17" t="s">
        <v>470</v>
      </c>
      <c r="J66" s="17"/>
      <c r="K66" s="16" t="s">
        <v>7</v>
      </c>
      <c r="L66" s="15" t="s">
        <v>111</v>
      </c>
      <c r="M66" s="18" t="s">
        <v>471</v>
      </c>
      <c r="N66" s="17" t="s">
        <v>455</v>
      </c>
      <c r="O66" s="17" t="s">
        <v>526</v>
      </c>
    </row>
  </sheetData>
  <phoneticPr fontId="23" type="noConversion"/>
  <conditionalFormatting sqref="K2:K266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"미수행"</formula>
    </cfRule>
    <cfRule type="cellIs" dxfId="0" priority="5" operator="equal">
      <formula>"Blocked"</formula>
    </cfRule>
  </conditionalFormatting>
  <dataValidations count="2">
    <dataValidation type="list" allowBlank="1" sqref="K2:K266">
      <formula1>"Pass,Fail,미수행,Blocked"</formula1>
      <formula2>0</formula2>
    </dataValidation>
    <dataValidation type="list" allowBlank="1" sqref="E2:E266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테스트 케이스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EDU01-06</cp:lastModifiedBy>
  <cp:revision>0</cp:revision>
  <dcterms:created xsi:type="dcterms:W3CDTF">2026-10-10T09:25:34Z</dcterms:created>
  <dcterms:modified xsi:type="dcterms:W3CDTF">2026-10-16T07:45:19Z</dcterms:modified>
  <cp:category/>
  <cp:contentStatus/>
</cp:coreProperties>
</file>