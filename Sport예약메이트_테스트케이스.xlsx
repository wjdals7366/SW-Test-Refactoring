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요약" sheetId="1" state="visible" r:id="rId3"/>
    <sheet name="테스트 케이스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<sst xmlns="http://schemas.openxmlformats.org/spreadsheetml/2006/main" count="1146" uniqueCount="583">
  <si>
    <r>
      <rPr>
        <b val="true"/>
        <sz val="16"/>
        <color rgb="FF1F4E79"/>
        <rFont val="Malgun Gothic"/>
        <family val="3"/>
        <charset val="129"/>
      </rPr>
      <t xml:space="preserve">Sport </t>
    </r>
    <r>
      <rPr>
        <b val="true"/>
        <sz val="16"/>
        <color rgb="FF1F4E79"/>
        <rFont val="Noto Sans CJK SC"/>
        <family val="2"/>
      </rPr>
      <t xml:space="preserve">예약 메이트 테스트 케이스</t>
    </r>
  </si>
  <si>
    <t xml:space="preserve">근거 문서: Sport 예약 메이트 테스트 수행 보고서 (2026-10-17), TestCase.xlsx</t>
  </si>
  <si>
    <t xml:space="preserve">구분</t>
  </si>
  <si>
    <t xml:space="preserve">전체</t>
  </si>
  <si>
    <t xml:space="preserve">Pass</t>
  </si>
  <si>
    <t xml:space="preserve">Fail</t>
  </si>
  <si>
    <t xml:space="preserve">미수행</t>
  </si>
  <si>
    <t xml:space="preserve">Blocked</t>
  </si>
  <si>
    <t xml:space="preserve">수행률</t>
  </si>
  <si>
    <t xml:space="preserve">접두어</t>
  </si>
  <si>
    <t xml:space="preserve">영문</t>
  </si>
  <si>
    <t xml:space="preserve">대상 영역</t>
  </si>
  <si>
    <t xml:space="preserve">범위</t>
  </si>
  <si>
    <t xml:space="preserve">개수</t>
  </si>
  <si>
    <t xml:space="preserve">부하</t>
  </si>
  <si>
    <t xml:space="preserve">PF</t>
  </si>
  <si>
    <t xml:space="preserve">Performance</t>
  </si>
  <si>
    <t xml:space="preserve">부하 · 성능</t>
  </si>
  <si>
    <r>
      <rPr>
        <sz val="11"/>
        <color theme="1"/>
        <rFont val="Calibri"/>
        <family val="2"/>
        <charset val="1"/>
      </rPr>
      <t xml:space="preserve">k6</t>
    </r>
    <r>
      <rPr>
        <sz val="11"/>
        <color theme="1"/>
        <rFont val="Noto Sans CJK SC"/>
        <family val="2"/>
      </rPr>
      <t xml:space="preserve">로 측정한 로그인 페이지 동시 접속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이용권 대량 등록 응답 시간과 실패율</t>
    </r>
  </si>
  <si>
    <t xml:space="preserve">배치</t>
  </si>
  <si>
    <t xml:space="preserve">BT</t>
  </si>
  <si>
    <t xml:space="preserve">Batch</t>
  </si>
  <si>
    <t xml:space="preserve">Spring Batch</t>
  </si>
  <si>
    <r>
      <rPr>
        <sz val="11"/>
        <color theme="1"/>
        <rFont val="Calibri"/>
        <family val="2"/>
        <charset val="1"/>
      </rPr>
      <t xml:space="preserve">addPassesJob</t>
    </r>
    <r>
      <rPr>
        <sz val="11"/>
        <color theme="1"/>
        <rFont val="Noto Sans CJK SC"/>
        <family val="2"/>
      </rPr>
      <t xml:space="preserve">의 처리 시간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증가 패턴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처리 후 데이터 정합성</t>
    </r>
    <r>
      <rPr>
        <sz val="11"/>
        <color theme="1"/>
        <rFont val="Calibri"/>
        <family val="2"/>
        <charset val="1"/>
      </rPr>
      <t xml:space="preserve">, Job </t>
    </r>
    <r>
      <rPr>
        <sz val="11"/>
        <color theme="1"/>
        <rFont val="Noto Sans CJK SC"/>
        <family val="2"/>
      </rPr>
      <t xml:space="preserve">재실행</t>
    </r>
  </si>
  <si>
    <t xml:space="preserve">로그인</t>
  </si>
  <si>
    <t xml:space="preserve">L</t>
  </si>
  <si>
    <t xml:space="preserve">Login</t>
  </si>
  <si>
    <t xml:space="preserve">로그인 화면</t>
  </si>
  <si>
    <t xml:space="preserve">브라우저에서 수행하는 로그인 기능, 세션, 그룹 매핑</t>
  </si>
  <si>
    <t xml:space="preserve">로그인 API</t>
  </si>
  <si>
    <t xml:space="preserve">LA</t>
  </si>
  <si>
    <t xml:space="preserve">Login API</t>
  </si>
  <si>
    <t xml:space="preserve">화면 없이 POST /login/action을 직접 호출해 상태 코드와 응답 본문 검증</t>
  </si>
  <si>
    <t xml:space="preserve">보안</t>
  </si>
  <si>
    <t xml:space="preserve">SC</t>
  </si>
  <si>
    <t xml:space="preserve">Security</t>
  </si>
  <si>
    <t xml:space="preserve">비밀번호 저장 형식, 민감 정보 노출 여부</t>
  </si>
  <si>
    <t xml:space="preserve">회원가입</t>
  </si>
  <si>
    <t xml:space="preserve">JN</t>
  </si>
  <si>
    <t xml:space="preserve">Join</t>
  </si>
  <si>
    <t xml:space="preserve">화면 회원가입과 POST /join/action API 가입, 입력값 검증, 경계값</t>
  </si>
  <si>
    <t xml:space="preserve">회원가입 API</t>
  </si>
  <si>
    <t xml:space="preserve">AD</t>
  </si>
  <si>
    <t xml:space="preserve">Admin</t>
  </si>
  <si>
    <t xml:space="preserve">관리자</t>
  </si>
  <si>
    <t xml:space="preserve">대시보드, 이용권 일괄 등록 화면, 관리자 로그인, 통계</t>
  </si>
  <si>
    <t xml:space="preserve">BK</t>
  </si>
  <si>
    <t xml:space="preserve">Booking</t>
  </si>
  <si>
    <t xml:space="preserve">예약</t>
  </si>
  <si>
    <t xml:space="preserve">예약 시간 중복 차단, 동시 요청 처리</t>
  </si>
  <si>
    <t xml:space="preserve">합계</t>
  </si>
  <si>
    <t xml:space="preserve">결함별 케이스</t>
  </si>
  <si>
    <t xml:space="preserve">결함 ID</t>
  </si>
  <si>
    <t xml:space="preserve">케이스 수</t>
  </si>
  <si>
    <t xml:space="preserve">내용</t>
  </si>
  <si>
    <t xml:space="preserve">의미</t>
  </si>
  <si>
    <t xml:space="preserve">예</t>
  </si>
  <si>
    <t xml:space="preserve">DEF-001</t>
  </si>
  <si>
    <t xml:space="preserve">로그인 응답·Console에 비밀번호 원문 노출 (수정 완료)</t>
  </si>
  <si>
    <t xml:space="preserve">DEF</t>
  </si>
  <si>
    <t xml:space="preserve">기능 · 보안 결함</t>
  </si>
  <si>
    <r>
      <rPr>
        <sz val="11"/>
        <color theme="1"/>
        <rFont val="Calibri"/>
        <family val="2"/>
        <charset val="1"/>
      </rPr>
      <t xml:space="preserve">DEF-001 </t>
    </r>
    <r>
      <rPr>
        <sz val="11"/>
        <color theme="1"/>
        <rFont val="Noto Sans CJK SC"/>
        <family val="2"/>
      </rPr>
      <t xml:space="preserve">비밀번호 원문 노출</t>
    </r>
  </si>
  <si>
    <t xml:space="preserve">DEF-002</t>
  </si>
  <si>
    <t xml:space="preserve">빈 이름·이메일 검사 미동작 의심 (코드 분석 후 테스트로 기각)</t>
  </si>
  <si>
    <t xml:space="preserve">ET</t>
  </si>
  <si>
    <t xml:space="preserve">탐색적 테스트로 발견한 항목</t>
  </si>
  <si>
    <r>
      <rPr>
        <sz val="11"/>
        <color theme="1"/>
        <rFont val="Calibri"/>
        <family val="2"/>
        <charset val="1"/>
      </rPr>
      <t xml:space="preserve">ET2 </t>
    </r>
    <r>
      <rPr>
        <sz val="11"/>
        <color theme="1"/>
        <rFont val="Noto Sans CJK SC"/>
        <family val="2"/>
      </rPr>
      <t xml:space="preserve">대시보드 </t>
    </r>
    <r>
      <rPr>
        <sz val="11"/>
        <color theme="1"/>
        <rFont val="Calibri"/>
        <family val="2"/>
        <charset val="1"/>
      </rPr>
      <t xml:space="preserve">400</t>
    </r>
  </si>
  <si>
    <t xml:space="preserve">DEF-003</t>
  </si>
  <si>
    <r>
      <rPr>
        <sz val="10"/>
        <rFont val="Malgun Gothic"/>
        <family val="3"/>
        <charset val="129"/>
      </rPr>
      <t xml:space="preserve">BCrypt 72</t>
    </r>
    <r>
      <rPr>
        <sz val="10"/>
        <rFont val="Noto Sans CJK SC"/>
        <family val="2"/>
      </rPr>
      <t xml:space="preserve">바이트 초과 부분 무시</t>
    </r>
    <r>
      <rPr>
        <sz val="10"/>
        <rFont val="Malgun Gothic"/>
        <family val="3"/>
        <charset val="129"/>
      </rPr>
      <t xml:space="preserve">, </t>
    </r>
    <r>
      <rPr>
        <sz val="10"/>
        <rFont val="Noto Sans CJK SC"/>
        <family val="2"/>
      </rPr>
      <t xml:space="preserve">뒷부분이 다른 비밀번호로 로그인됨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확정</t>
    </r>
    <r>
      <rPr>
        <sz val="10"/>
        <rFont val="Malgun Gothic"/>
        <family val="3"/>
        <charset val="129"/>
      </rPr>
      <t xml:space="preserve">, </t>
    </r>
    <r>
      <rPr>
        <sz val="10"/>
        <rFont val="Noto Sans CJK SC"/>
        <family val="2"/>
      </rPr>
      <t xml:space="preserve">미수정</t>
    </r>
    <r>
      <rPr>
        <sz val="10"/>
        <rFont val="Malgun Gothic"/>
        <family val="3"/>
        <charset val="129"/>
      </rPr>
      <t xml:space="preserve">)</t>
    </r>
  </si>
  <si>
    <t xml:space="preserve">PERF</t>
  </si>
  <si>
    <t xml:space="preserve">성능 결함</t>
  </si>
  <si>
    <r>
      <rPr>
        <sz val="11"/>
        <color theme="1"/>
        <rFont val="Calibri"/>
        <family val="2"/>
        <charset val="1"/>
      </rPr>
      <t xml:space="preserve">PERF-001 </t>
    </r>
    <r>
      <rPr>
        <sz val="11"/>
        <color theme="1"/>
        <rFont val="Noto Sans CJK SC"/>
        <family val="2"/>
      </rPr>
      <t xml:space="preserve">배치 반복 조회 병목</t>
    </r>
  </si>
  <si>
    <t xml:space="preserve">DEF-004</t>
  </si>
  <si>
    <t xml:space="preserve">가입 예외를 삼켜 저장 없이 200 응답 (미수정)</t>
  </si>
  <si>
    <t xml:space="preserve">ET2</t>
  </si>
  <si>
    <r>
      <rPr>
        <sz val="10"/>
        <rFont val="Malgun Gothic"/>
        <family val="3"/>
        <charset val="129"/>
      </rPr>
      <t xml:space="preserve">/admin </t>
    </r>
    <r>
      <rPr>
        <sz val="10"/>
        <rFont val="Noto Sans CJK SC"/>
        <family val="2"/>
      </rPr>
      <t xml:space="preserve">파라미터 없이 접속 시 </t>
    </r>
    <r>
      <rPr>
        <sz val="10"/>
        <rFont val="Malgun Gothic"/>
        <family val="3"/>
        <charset val="129"/>
      </rPr>
      <t xml:space="preserve">400 (</t>
    </r>
    <r>
      <rPr>
        <sz val="10"/>
        <rFont val="Noto Sans CJK SC"/>
        <family val="2"/>
      </rPr>
      <t xml:space="preserve">수정 완료</t>
    </r>
    <r>
      <rPr>
        <sz val="10"/>
        <rFont val="Malgun Gothic"/>
        <family val="3"/>
        <charset val="129"/>
      </rPr>
      <t xml:space="preserve">)</t>
    </r>
  </si>
  <si>
    <r>
      <rPr>
        <b val="true"/>
        <sz val="11"/>
        <color rgb="FF1F4E79"/>
        <rFont val="Noto Sans CJK SC"/>
        <family val="2"/>
      </rPr>
      <t xml:space="preserve">테스트 기법별 </t>
    </r>
    <r>
      <rPr>
        <b val="true"/>
        <sz val="11"/>
        <color rgb="FF1F4E79"/>
        <rFont val="Malgun Gothic"/>
        <family val="0"/>
        <charset val="1"/>
      </rPr>
      <t xml:space="preserve">TC </t>
    </r>
    <r>
      <rPr>
        <b val="true"/>
        <sz val="11"/>
        <color rgb="FF1F4E79"/>
        <rFont val="Noto Sans CJK SC"/>
        <family val="2"/>
      </rPr>
      <t xml:space="preserve">수</t>
    </r>
  </si>
  <si>
    <t xml:space="preserve">PERF-001</t>
  </si>
  <si>
    <t xml:space="preserve">배치 반복 조회 병목, 건당 SELECT 2k+2회 (수정 완료)</t>
  </si>
  <si>
    <t xml:space="preserve">기법</t>
  </si>
  <si>
    <r>
      <rPr>
        <b val="true"/>
        <sz val="10"/>
        <color rgb="FFFFFFFF"/>
        <rFont val="Malgun Gothic"/>
        <family val="0"/>
        <charset val="1"/>
      </rPr>
      <t xml:space="preserve">TC </t>
    </r>
    <r>
      <rPr>
        <b val="true"/>
        <sz val="10"/>
        <color rgb="FFFFFFFF"/>
        <rFont val="Noto Sans CJK SC"/>
        <family val="2"/>
      </rPr>
      <t xml:space="preserve">수</t>
    </r>
  </si>
  <si>
    <t xml:space="preserve">PERF-002</t>
  </si>
  <si>
    <t xml:space="preserve">이용권 일괄 등록 목록 페이징 없음 (미수정)</t>
  </si>
  <si>
    <t xml:space="preserve">블랙박스</t>
  </si>
  <si>
    <t xml:space="preserve">DEF-005</t>
  </si>
  <si>
    <t xml:space="preserve">시간대 불일치(serverTimezone=UTC)로 대시보드 기준일 통계 누락 (수정 완료: 웹·배치 서버 Asia/Seoul로 통일)</t>
  </si>
  <si>
    <t xml:space="preserve">  동등 분할</t>
  </si>
  <si>
    <t xml:space="preserve">작성 기준</t>
  </si>
  <si>
    <t xml:space="preserve">  경계값 분석</t>
  </si>
  <si>
    <t xml:space="preserve">• 판정: Pass / Fail / 미수행 / Blocked 중에서 선택합니다 (목록에서 고르기). 수행 후 '실제 결과'와 '판정'만 채우면 요약이 자동으로 갱신됩니다.</t>
  </si>
  <si>
    <t xml:space="preserve">  결정 테이블</t>
  </si>
  <si>
    <t xml:space="preserve">• 수행률 = (Pass + Fail + Blocked) / 전체. 미수행 2건(BK-01·02)은 예약 시나리오 설계 후 수행할 향후 계획입니다.</t>
  </si>
  <si>
    <t xml:space="preserve">  상태 전이</t>
  </si>
  <si>
    <r>
      <rPr>
        <sz val="9"/>
        <rFont val="Malgun Gothic"/>
        <family val="3"/>
        <charset val="129"/>
      </rPr>
      <t xml:space="preserve">• PF-01~06</t>
    </r>
    <r>
      <rPr>
        <sz val="9"/>
        <rFont val="Noto Sans CJK SC"/>
        <family val="2"/>
      </rPr>
      <t xml:space="preserve">의 판정 기준</t>
    </r>
    <r>
      <rPr>
        <sz val="9"/>
        <rFont val="Malgun Gothic"/>
        <family val="3"/>
        <charset val="129"/>
      </rPr>
      <t xml:space="preserve">(</t>
    </r>
    <r>
      <rPr>
        <sz val="9"/>
        <rFont val="Noto Sans CJK SC"/>
        <family val="2"/>
      </rPr>
      <t xml:space="preserve">실패율 </t>
    </r>
    <r>
      <rPr>
        <sz val="9"/>
        <rFont val="Malgun Gothic"/>
        <family val="3"/>
        <charset val="129"/>
      </rPr>
      <t xml:space="preserve">0%)</t>
    </r>
    <r>
      <rPr>
        <sz val="9"/>
        <rFont val="Noto Sans CJK SC"/>
        <family val="2"/>
      </rPr>
      <t xml:space="preserve">은 보고서에 목표치가 정해져 있지 않아 둔 임시 기준입니다</t>
    </r>
    <r>
      <rPr>
        <sz val="9"/>
        <rFont val="Malgun Gothic"/>
        <family val="3"/>
        <charset val="129"/>
      </rPr>
      <t xml:space="preserve">. </t>
    </r>
    <r>
      <rPr>
        <sz val="9"/>
        <rFont val="Noto Sans CJK SC"/>
        <family val="2"/>
      </rPr>
      <t xml:space="preserve">목표 응답 시간</t>
    </r>
    <r>
      <rPr>
        <sz val="9"/>
        <rFont val="Malgun Gothic"/>
        <family val="3"/>
        <charset val="129"/>
      </rPr>
      <t xml:space="preserve">·</t>
    </r>
    <r>
      <rPr>
        <sz val="9"/>
        <rFont val="Noto Sans CJK SC"/>
        <family val="2"/>
      </rPr>
      <t xml:space="preserve">실패율이 정해지면 수정하세요</t>
    </r>
    <r>
      <rPr>
        <sz val="9"/>
        <rFont val="Malgun Gothic"/>
        <family val="3"/>
        <charset val="129"/>
      </rPr>
      <t xml:space="preserve">.</t>
    </r>
  </si>
  <si>
    <t xml:space="preserve">  결과 대조</t>
  </si>
  <si>
    <r>
      <rPr>
        <sz val="9"/>
        <rFont val="Malgun Gothic"/>
        <family val="3"/>
        <charset val="129"/>
      </rPr>
      <t xml:space="preserve">• BT </t>
    </r>
    <r>
      <rPr>
        <sz val="9"/>
        <rFont val="Noto Sans CJK SC"/>
        <family val="2"/>
      </rPr>
      <t xml:space="preserve">케이스의 판정 기준은 </t>
    </r>
    <r>
      <rPr>
        <sz val="9"/>
        <rFont val="Malgun Gothic"/>
        <family val="3"/>
        <charset val="129"/>
      </rPr>
      <t xml:space="preserve">k6 timeout(300</t>
    </r>
    <r>
      <rPr>
        <sz val="9"/>
        <rFont val="Noto Sans CJK SC"/>
        <family val="2"/>
      </rPr>
      <t xml:space="preserve">초</t>
    </r>
    <r>
      <rPr>
        <sz val="9"/>
        <rFont val="Malgun Gothic"/>
        <family val="3"/>
        <charset val="129"/>
      </rPr>
      <t xml:space="preserve">) </t>
    </r>
    <r>
      <rPr>
        <sz val="9"/>
        <rFont val="Noto Sans CJK SC"/>
        <family val="2"/>
      </rPr>
      <t xml:space="preserve">안에 </t>
    </r>
    <r>
      <rPr>
        <sz val="9"/>
        <rFont val="Malgun Gothic"/>
        <family val="3"/>
        <charset val="129"/>
      </rPr>
      <t xml:space="preserve">COMPLETED </t>
    </r>
    <r>
      <rPr>
        <sz val="9"/>
        <rFont val="Noto Sans CJK SC"/>
        <family val="2"/>
      </rPr>
      <t xml:space="preserve">응답 여부입니다</t>
    </r>
    <r>
      <rPr>
        <sz val="9"/>
        <rFont val="Malgun Gothic"/>
        <family val="3"/>
        <charset val="129"/>
      </rPr>
      <t xml:space="preserve">. </t>
    </r>
    <r>
      <rPr>
        <sz val="9"/>
        <rFont val="Noto Sans CJK SC"/>
        <family val="2"/>
      </rPr>
      <t xml:space="preserve">증가 패턴은 </t>
    </r>
    <r>
      <rPr>
        <sz val="9"/>
        <rFont val="Malgun Gothic"/>
        <family val="3"/>
        <charset val="129"/>
      </rPr>
      <t xml:space="preserve">BT-04, BT-09</t>
    </r>
    <r>
      <rPr>
        <sz val="9"/>
        <rFont val="Noto Sans CJK SC"/>
        <family val="2"/>
      </rPr>
      <t xml:space="preserve">에서 따로 판정합니다</t>
    </r>
    <r>
      <rPr>
        <sz val="9"/>
        <rFont val="Malgun Gothic"/>
        <family val="3"/>
        <charset val="129"/>
      </rPr>
      <t xml:space="preserve">.</t>
    </r>
  </si>
  <si>
    <t xml:space="preserve">화이트박스 관점</t>
  </si>
  <si>
    <t xml:space="preserve">• 결함 ID: DEF(기능·보안 결함), ET(탐색적 테스트 발견 항목, ET1은 DEF-001로 등록), PERF(성능 결함). 보고서 6.1과 같은 ID를 씁니다.</t>
  </si>
  <si>
    <t xml:space="preserve">경험 기반</t>
  </si>
  <si>
    <t xml:space="preserve">• 결함 ID가 적힌 Pass 케이스는 해당 결함의 수정 확인(회귀) 케이스입니다.</t>
  </si>
  <si>
    <t xml:space="preserve">  오류 추정</t>
  </si>
  <si>
    <t xml:space="preserve">• 실행 전제: 웹 서버(8080)와 배치 서버(8081) 실행, 환경변수 DB_PASSWORD 설정</t>
  </si>
  <si>
    <t xml:space="preserve">  탐색적 테스팅</t>
  </si>
  <si>
    <t xml:space="preserve">• 웹 서버를 시작하면 스키마가 새로 생성되고 insert.sql 데이터가 다시 들어갑니다 (ddl-auto: create)</t>
  </si>
  <si>
    <t xml:space="preserve">  체크리스트 기반</t>
  </si>
  <si>
    <t xml:space="preserve">비기능 측정</t>
  </si>
  <si>
    <t xml:space="preserve">확인 테스트 포함</t>
  </si>
  <si>
    <t xml:space="preserve">리그레션 포함</t>
  </si>
  <si>
    <r>
      <rPr>
        <sz val="9"/>
        <color rgb="FF595959"/>
        <rFont val="Noto Sans CJK SC"/>
        <family val="2"/>
      </rPr>
      <t xml:space="preserve">※ 한 </t>
    </r>
    <r>
      <rPr>
        <sz val="9"/>
        <color rgb="FF595959"/>
        <rFont val="Malgun Gothic"/>
        <family val="0"/>
        <charset val="1"/>
      </rPr>
      <t xml:space="preserve">TC</t>
    </r>
    <r>
      <rPr>
        <sz val="9"/>
        <color rgb="FF595959"/>
        <rFont val="Noto Sans CJK SC"/>
        <family val="2"/>
      </rPr>
      <t xml:space="preserve">에 기법이 여러 개면 세부 기법에 중복으로 셉니다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Noto Sans CJK SC"/>
        <family val="2"/>
      </rPr>
      <t xml:space="preserve">분류 기준</t>
    </r>
    <r>
      <rPr>
        <sz val="9"/>
        <color rgb="FF595959"/>
        <rFont val="Malgun Gothic"/>
        <family val="0"/>
        <charset val="1"/>
      </rPr>
      <t xml:space="preserve">: ISTQB CTFL v4.0.1 4</t>
    </r>
    <r>
      <rPr>
        <sz val="9"/>
        <color rgb="FF595959"/>
        <rFont val="Noto Sans CJK SC"/>
        <family val="2"/>
      </rPr>
      <t xml:space="preserve">장</t>
    </r>
  </si>
  <si>
    <t xml:space="preserve">TC ID</t>
  </si>
  <si>
    <t xml:space="preserve">기능/시나리오</t>
  </si>
  <si>
    <t xml:space="preserve">테스트 유형</t>
  </si>
  <si>
    <t xml:space="preserve">우선순위</t>
  </si>
  <si>
    <t xml:space="preserve">사전 조건</t>
  </si>
  <si>
    <t xml:space="preserve">입력 데이터</t>
  </si>
  <si>
    <t xml:space="preserve">테스트 절차</t>
  </si>
  <si>
    <t xml:space="preserve">기대 결과</t>
  </si>
  <si>
    <t xml:space="preserve">실제 결과</t>
  </si>
  <si>
    <t xml:space="preserve">판정</t>
  </si>
  <si>
    <t xml:space="preserve">관련 결함</t>
  </si>
  <si>
    <t xml:space="preserve">수행 방법</t>
  </si>
  <si>
    <t xml:space="preserve">근거</t>
  </si>
  <si>
    <t xml:space="preserve">비고</t>
  </si>
  <si>
    <t xml:space="preserve">기법 분류</t>
  </si>
  <si>
    <t xml:space="preserve">테스트 기법</t>
  </si>
  <si>
    <t xml:space="preserve">PF-01</t>
  </si>
  <si>
    <t xml:space="preserve">로그인 페이지</t>
  </si>
  <si>
    <t xml:space="preserve">성능</t>
  </si>
  <si>
    <t xml:space="preserve">Medium</t>
  </si>
  <si>
    <t xml:space="preserve">VU 100, duration 10s</t>
  </si>
  <si>
    <r>
      <rPr>
        <sz val="10"/>
        <rFont val="Malgun Gothic"/>
        <family val="3"/>
        <charset val="129"/>
      </rPr>
      <t xml:space="preserve">1. loadtest1.js</t>
    </r>
    <r>
      <rPr>
        <sz val="10"/>
        <rFont val="Noto Sans CJK SC"/>
        <family val="2"/>
      </rPr>
      <t xml:space="preserve">의 </t>
    </r>
    <r>
      <rPr>
        <sz val="10"/>
        <rFont val="Malgun Gothic"/>
        <family val="3"/>
        <charset val="129"/>
      </rPr>
      <t xml:space="preserve">vus </t>
    </r>
    <r>
      <rPr>
        <sz val="10"/>
        <rFont val="Noto Sans CJK SC"/>
        <family val="2"/>
      </rPr>
      <t xml:space="preserve">설정
</t>
    </r>
    <r>
      <rPr>
        <sz val="10"/>
        <rFont val="Malgun Gothic"/>
        <family val="3"/>
        <charset val="129"/>
      </rPr>
      <t xml:space="preserve">2. 10</t>
    </r>
    <r>
      <rPr>
        <sz val="10"/>
        <rFont val="Noto Sans CJK SC"/>
        <family val="2"/>
      </rPr>
      <t xml:space="preserve">초 동안 각 </t>
    </r>
    <r>
      <rPr>
        <sz val="10"/>
        <rFont val="Malgun Gothic"/>
        <family val="3"/>
        <charset val="129"/>
      </rPr>
      <t xml:space="preserve">VU</t>
    </r>
    <r>
      <rPr>
        <sz val="10"/>
        <rFont val="Noto Sans CJK SC"/>
        <family val="2"/>
      </rPr>
      <t xml:space="preserve">가 </t>
    </r>
    <r>
      <rPr>
        <sz val="10"/>
        <rFont val="Malgun Gothic"/>
        <family val="3"/>
        <charset val="129"/>
      </rPr>
      <t xml:space="preserve">1</t>
    </r>
    <r>
      <rPr>
        <sz val="10"/>
        <rFont val="Noto Sans CJK SC"/>
        <family val="2"/>
      </rPr>
      <t xml:space="preserve">초 간격으로 </t>
    </r>
    <r>
      <rPr>
        <sz val="10"/>
        <rFont val="Malgun Gothic"/>
        <family val="3"/>
        <charset val="129"/>
      </rPr>
      <t xml:space="preserve">GET /login </t>
    </r>
    <r>
      <rPr>
        <sz val="10"/>
        <rFont val="Noto Sans CJK SC"/>
        <family val="2"/>
      </rPr>
      <t xml:space="preserve">요청
</t>
    </r>
    <r>
      <rPr>
        <sz val="10"/>
        <rFont val="Malgun Gothic"/>
        <family val="3"/>
        <charset val="129"/>
      </rPr>
      <t xml:space="preserve">3. k6 </t>
    </r>
    <r>
      <rPr>
        <sz val="10"/>
        <rFont val="Noto Sans CJK SC"/>
        <family val="2"/>
      </rPr>
      <t xml:space="preserve">결과의 </t>
    </r>
    <r>
      <rPr>
        <sz val="10"/>
        <rFont val="Malgun Gothic"/>
        <family val="3"/>
        <charset val="129"/>
      </rPr>
      <t xml:space="preserve">latency</t>
    </r>
    <r>
      <rPr>
        <sz val="10"/>
        <rFont val="Noto Sans CJK SC"/>
        <family val="2"/>
      </rPr>
      <t xml:space="preserve">와 실패율 기록</t>
    </r>
  </si>
  <si>
    <t xml:space="preserve">응답 실패율 0%</t>
  </si>
  <si>
    <r>
      <rPr>
        <sz val="10"/>
        <rFont val="Malgun Gothic"/>
        <family val="3"/>
        <charset val="129"/>
      </rPr>
      <t xml:space="preserve">avg 12.31ms, max 44.46ms,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family val="3"/>
        <charset val="129"/>
      </rPr>
      <t xml:space="preserve">0.00%</t>
    </r>
  </si>
  <si>
    <t xml:space="preserve">-</t>
  </si>
  <si>
    <t xml:space="preserve">k6 (loadtest1.js)</t>
  </si>
  <si>
    <t xml:space="preserve">보고서 2.1</t>
  </si>
  <si>
    <t xml:space="preserve">판정 기준은 임시 기준(실패율 0%). 한 PC에서 부하 생성기와 서버를 함께 실행</t>
  </si>
  <si>
    <t xml:space="preserve">부하 테스트 (VU 단계 증가)</t>
  </si>
  <si>
    <t xml:space="preserve">PF-02</t>
  </si>
  <si>
    <t xml:space="preserve">VU 200, duration 10s</t>
  </si>
  <si>
    <r>
      <rPr>
        <sz val="10"/>
        <rFont val="Malgun Gothic"/>
        <family val="3"/>
        <charset val="129"/>
      </rPr>
      <t xml:space="preserve">avg 19.65ms, max 50.65ms,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family val="3"/>
        <charset val="129"/>
      </rPr>
      <t xml:space="preserve">4.45%</t>
    </r>
  </si>
  <si>
    <t xml:space="preserve">한 PC에서 부하 생성기와 서버를 함께 실행해 자원 경합 포함</t>
  </si>
  <si>
    <t xml:space="preserve">PF-03</t>
  </si>
  <si>
    <t xml:space="preserve">VU 500, duration 10s</t>
  </si>
  <si>
    <r>
      <rPr>
        <sz val="10"/>
        <rFont val="Malgun Gothic"/>
        <family val="3"/>
        <charset val="129"/>
      </rPr>
      <t xml:space="preserve">avg 36.65ms, max 170.46ms,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family val="3"/>
        <charset val="129"/>
      </rPr>
      <t xml:space="preserve">7.12%</t>
    </r>
  </si>
  <si>
    <t xml:space="preserve">PF-04</t>
  </si>
  <si>
    <t xml:space="preserve">VU 1,000, duration 10s</t>
  </si>
  <si>
    <r>
      <rPr>
        <sz val="10"/>
        <rFont val="Malgun Gothic"/>
        <family val="3"/>
        <charset val="129"/>
      </rPr>
      <t xml:space="preserve">avg 59.87ms, max 329.53ms,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family val="3"/>
        <charset val="129"/>
      </rPr>
      <t xml:space="preserve">7.95%</t>
    </r>
  </si>
  <si>
    <t xml:space="preserve">PF-05</t>
  </si>
  <si>
    <t xml:space="preserve">VU 5,000, duration 10s</t>
  </si>
  <si>
    <r>
      <rPr>
        <sz val="10"/>
        <rFont val="Malgun Gothic"/>
        <family val="3"/>
        <charset val="129"/>
      </rPr>
      <t xml:space="preserve">avg 1.44s, max 2.23s,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family val="3"/>
        <charset val="129"/>
      </rPr>
      <t xml:space="preserve">16.28%</t>
    </r>
  </si>
  <si>
    <t xml:space="preserve">PF-06</t>
  </si>
  <si>
    <t xml:space="preserve">High</t>
  </si>
  <si>
    <t xml:space="preserve">VU 10,000, duration 10s</t>
  </si>
  <si>
    <r>
      <rPr>
        <sz val="10"/>
        <rFont val="Malgun Gothic"/>
        <family val="3"/>
        <charset val="129"/>
      </rPr>
      <t xml:space="preserve">avg 2.76s, max 3.73s,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family val="3"/>
        <charset val="129"/>
      </rPr>
      <t xml:space="preserve">47.84%</t>
    </r>
  </si>
  <si>
    <t xml:space="preserve">PF-07</t>
  </si>
  <si>
    <t xml:space="preserve">이용권 일괄 등록</t>
  </si>
  <si>
    <t xml:space="preserve">관리자 계정(Basic 인증)</t>
  </si>
  <si>
    <t xml:space="preserve">packageSeq=1, userId=A1000000, startedAt=2026-12-31 10:00</t>
  </si>
  <si>
    <r>
      <rPr>
        <sz val="10"/>
        <rFont val="Malgun Gothic"/>
        <family val="3"/>
        <charset val="129"/>
      </rPr>
      <t xml:space="preserve">1. loadtest2.js </t>
    </r>
    <r>
      <rPr>
        <sz val="10"/>
        <rFont val="Noto Sans CJK SC"/>
        <family val="2"/>
      </rPr>
      <t xml:space="preserve">실행 </t>
    </r>
    <r>
      <rPr>
        <sz val="10"/>
        <rFont val="Malgun Gothic"/>
        <family val="3"/>
        <charset val="129"/>
      </rPr>
      <t xml:space="preserve">(VU 20, shared-iterations 10,000, maxDuration 10m, redirects: 0)
2. 302 </t>
    </r>
    <r>
      <rPr>
        <sz val="10"/>
        <rFont val="Noto Sans CJK SC"/>
        <family val="2"/>
      </rPr>
      <t xml:space="preserve">응답 수 확인
</t>
    </r>
    <r>
      <rPr>
        <sz val="10"/>
        <rFont val="Malgun Gothic"/>
        <family val="3"/>
        <charset val="129"/>
      </rPr>
      <t xml:space="preserve">3. SELECT status, COUNT(*) FROM bulk_pass GROUP BY status;</t>
    </r>
  </si>
  <si>
    <r>
      <rPr>
        <sz val="10"/>
        <rFont val="Malgun Gothic"/>
        <family val="3"/>
        <charset val="129"/>
      </rPr>
      <t xml:space="preserve">10,000</t>
    </r>
    <r>
      <rPr>
        <sz val="10"/>
        <rFont val="Noto Sans CJK SC"/>
        <family val="2"/>
      </rPr>
      <t xml:space="preserve">건 모두 </t>
    </r>
    <r>
      <rPr>
        <sz val="10"/>
        <rFont val="Malgun Gothic"/>
        <family val="3"/>
        <charset val="129"/>
      </rPr>
      <t xml:space="preserve">302 </t>
    </r>
    <r>
      <rPr>
        <sz val="10"/>
        <rFont val="Noto Sans CJK SC"/>
        <family val="2"/>
      </rPr>
      <t xml:space="preserve">응답</t>
    </r>
    <r>
      <rPr>
        <sz val="10"/>
        <rFont val="Malgun Gothic"/>
        <family val="3"/>
        <charset val="129"/>
      </rPr>
      <t xml:space="preserve">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family val="3"/>
        <charset val="129"/>
      </rPr>
      <t xml:space="preserve">0%, bulk_pass READY 10,000</t>
    </r>
    <r>
      <rPr>
        <sz val="10"/>
        <rFont val="Noto Sans CJK SC"/>
        <family val="2"/>
      </rPr>
      <t xml:space="preserve">건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유실 없음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</si>
  <si>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10,000/10,000 </t>
    </r>
    <r>
      <rPr>
        <sz val="10"/>
        <rFont val="Noto Sans CJK SC"/>
        <family val="2"/>
      </rPr>
      <t xml:space="preserve">완료 </t>
    </r>
    <r>
      <rPr>
        <sz val="10"/>
        <rFont val="Malgun Gothic"/>
        <family val="3"/>
        <charset val="129"/>
      </rPr>
      <t xml:space="preserve">(1</t>
    </r>
    <r>
      <rPr>
        <sz val="10"/>
        <rFont val="Noto Sans CJK SC"/>
        <family val="2"/>
      </rPr>
      <t xml:space="preserve">분 </t>
    </r>
    <r>
      <rPr>
        <sz val="10"/>
        <rFont val="Malgun Gothic"/>
        <family val="3"/>
        <charset val="129"/>
      </rPr>
      <t xml:space="preserve">9.4</t>
    </r>
    <r>
      <rPr>
        <sz val="10"/>
        <rFont val="Noto Sans CJK SC"/>
        <family val="2"/>
      </rPr>
      <t xml:space="preserve">초</t>
    </r>
    <r>
      <rPr>
        <sz val="10"/>
        <rFont val="Malgun Gothic"/>
        <family val="3"/>
        <charset val="129"/>
      </rPr>
      <t xml:space="preserve">),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family val="3"/>
        <charset val="129"/>
      </rPr>
      <t xml:space="preserve">0%, READY 10,000</t>
    </r>
    <r>
      <rPr>
        <sz val="10"/>
        <rFont val="Noto Sans CJK SC"/>
        <family val="2"/>
      </rPr>
      <t xml:space="preserve">건</t>
    </r>
  </si>
  <si>
    <t xml:space="preserve">k6 (loadtest2.js) + SQL</t>
  </si>
  <si>
    <t xml:space="preserve">보고서 2.2</t>
  </si>
  <si>
    <r>
      <rPr>
        <sz val="10"/>
        <rFont val="Malgun Gothic"/>
        <family val="3"/>
        <charset val="129"/>
      </rPr>
      <t xml:space="preserve">1</t>
    </r>
    <r>
      <rPr>
        <sz val="10"/>
        <rFont val="Noto Sans CJK SC"/>
        <family val="2"/>
      </rPr>
      <t xml:space="preserve">차 실행은 </t>
    </r>
    <r>
      <rPr>
        <sz val="10"/>
        <rFont val="Malgun Gothic"/>
        <family val="3"/>
        <charset val="129"/>
      </rPr>
      <t xml:space="preserve">k6</t>
    </r>
    <r>
      <rPr>
        <sz val="10"/>
        <rFont val="Noto Sans CJK SC"/>
        <family val="2"/>
      </rPr>
      <t xml:space="preserve">가 </t>
    </r>
    <r>
      <rPr>
        <sz val="10"/>
        <rFont val="Malgun Gothic"/>
        <family val="3"/>
        <charset val="129"/>
      </rPr>
      <t xml:space="preserve">302</t>
    </r>
    <r>
      <rPr>
        <sz val="10"/>
        <rFont val="Noto Sans CJK SC"/>
        <family val="2"/>
      </rPr>
      <t xml:space="preserve">를 따라가 목록 조회까지 측정 → </t>
    </r>
    <r>
      <rPr>
        <sz val="10"/>
        <rFont val="Malgun Gothic"/>
        <family val="3"/>
        <charset val="129"/>
      </rPr>
      <t xml:space="preserve">redirects: 0</t>
    </r>
    <r>
      <rPr>
        <sz val="10"/>
        <rFont val="Noto Sans CJK SC"/>
        <family val="2"/>
      </rPr>
      <t xml:space="preserve">으로 측정 대상 한정</t>
    </r>
  </si>
  <si>
    <r>
      <rPr>
        <sz val="10"/>
        <rFont val="Noto Sans CJK SC"/>
        <family val="2"/>
      </rPr>
      <t xml:space="preserve">부하 테스트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대량 동시 등록</t>
    </r>
    <r>
      <rPr>
        <sz val="10"/>
        <rFont val="Malgun Gothic"/>
        <family val="3"/>
        <charset val="129"/>
      </rPr>
      <t xml:space="preserve">)</t>
    </r>
  </si>
  <si>
    <t xml:space="preserve">PF-08</t>
  </si>
  <si>
    <t xml:space="preserve">VU 20, iterations 100·200·400·10,000</t>
  </si>
  <si>
    <r>
      <rPr>
        <sz val="10"/>
        <rFont val="Malgun Gothic"/>
        <family val="3"/>
        <charset val="129"/>
      </rPr>
      <t xml:space="preserve">1. bulkinsert.js</t>
    </r>
    <r>
      <rPr>
        <sz val="10"/>
        <rFont val="Noto Sans CJK SC"/>
        <family val="2"/>
      </rPr>
      <t xml:space="preserve">를 </t>
    </r>
    <r>
      <rPr>
        <sz val="10"/>
        <rFont val="Malgun Gothic"/>
        <family val="3"/>
        <charset val="129"/>
      </rPr>
      <t xml:space="preserve">iterations 100 / 200 / 400 / 10,000</t>
    </r>
    <r>
      <rPr>
        <sz val="10"/>
        <rFont val="Noto Sans CJK SC"/>
        <family val="2"/>
      </rPr>
      <t xml:space="preserve">으로 각각 실행
</t>
    </r>
    <r>
      <rPr>
        <sz val="10"/>
        <rFont val="Malgun Gothic"/>
        <family val="3"/>
        <charset val="129"/>
      </rPr>
      <t xml:space="preserve">2. </t>
    </r>
    <r>
      <rPr>
        <sz val="10"/>
        <rFont val="Noto Sans CJK SC"/>
        <family val="2"/>
      </rPr>
      <t xml:space="preserve">평균 응답 시간과 실패율 기록</t>
    </r>
  </si>
  <si>
    <t xml:space="preserve">건수와 무관하게 평균 응답 시간 유지, 실패율 0%</t>
  </si>
  <si>
    <r>
      <rPr>
        <sz val="10"/>
        <rFont val="Malgun Gothic"/>
        <family val="3"/>
        <charset val="129"/>
      </rPr>
      <t xml:space="preserve">avg 111.38 / 115.96 / 114.94 / 125.92ms, </t>
    </r>
    <r>
      <rPr>
        <sz val="10"/>
        <rFont val="Noto Sans CJK SC"/>
        <family val="2"/>
      </rPr>
      <t xml:space="preserve">실패율 모두 </t>
    </r>
    <r>
      <rPr>
        <sz val="10"/>
        <rFont val="Malgun Gothic"/>
        <family val="3"/>
        <charset val="129"/>
      </rPr>
      <t xml:space="preserve">0%</t>
    </r>
  </si>
  <si>
    <t xml:space="preserve">k6 (bulkinsert.js)</t>
  </si>
  <si>
    <t xml:space="preserve">보고서 3.5</t>
  </si>
  <si>
    <t xml:space="preserve">부하 테스트 (대량 동시 등록)</t>
  </si>
  <si>
    <t xml:space="preserve">PF-09</t>
  </si>
  <si>
    <t xml:space="preserve">이용권 일괄 등록 목록</t>
  </si>
  <si>
    <t xml:space="preserve">bulk_pass 수천 건 이상 적재</t>
  </si>
  <si>
    <r>
      <rPr>
        <sz val="10"/>
        <rFont val="Malgun Gothic"/>
        <family val="3"/>
        <charset val="129"/>
      </rPr>
      <t xml:space="preserve">bulk_pass 10,000</t>
    </r>
    <r>
      <rPr>
        <sz val="10"/>
        <rFont val="Noto Sans CJK SC"/>
        <family val="2"/>
      </rPr>
      <t xml:space="preserve">건</t>
    </r>
  </si>
  <si>
    <r>
      <rPr>
        <sz val="10"/>
        <rFont val="Malgun Gothic"/>
        <family val="3"/>
        <charset val="129"/>
      </rPr>
      <t xml:space="preserve">1. bulk_pass</t>
    </r>
    <r>
      <rPr>
        <sz val="10"/>
        <rFont val="Noto Sans CJK SC"/>
        <family val="2"/>
      </rPr>
      <t xml:space="preserve">를 대량 적재
</t>
    </r>
    <r>
      <rPr>
        <sz val="10"/>
        <rFont val="Malgun Gothic"/>
        <family val="3"/>
        <charset val="129"/>
      </rPr>
      <t xml:space="preserve">2. GET /admin/bulk-pass </t>
    </r>
    <r>
      <rPr>
        <sz val="10"/>
        <rFont val="Noto Sans CJK SC"/>
        <family val="2"/>
      </rPr>
      <t xml:space="preserve">응답 시간 측정</t>
    </r>
  </si>
  <si>
    <t xml:space="preserve">목록이 페이징되어 데이터 양과 무관하게 일정한 응답 시간</t>
  </si>
  <si>
    <t xml:space="preserve">페이징 없이 전체 목록을 조회·렌더링. 1차 등록 테스트에서 반복할수록 느려짐 관찰</t>
  </si>
  <si>
    <r>
      <rPr>
        <sz val="10"/>
        <rFont val="Malgun Gothic"/>
        <family val="3"/>
        <charset val="129"/>
      </rPr>
      <t xml:space="preserve">k6 + </t>
    </r>
    <r>
      <rPr>
        <sz val="10"/>
        <rFont val="Noto Sans CJK SC"/>
        <family val="2"/>
      </rPr>
      <t xml:space="preserve">코드 분석</t>
    </r>
  </si>
  <si>
    <t xml:space="preserve">보고서 2.2, 6.2</t>
  </si>
  <si>
    <t xml:space="preserve">응답 시간 수치는 별도 측정 필요</t>
  </si>
  <si>
    <t xml:space="preserve">코드 기반 분석 (목록 조회 로직) + 관찰</t>
  </si>
  <si>
    <t xml:space="preserve">BT-01</t>
  </si>
  <si>
    <r>
      <rPr>
        <sz val="10"/>
        <rFont val="Malgun Gothic"/>
        <family val="3"/>
        <charset val="129"/>
      </rPr>
      <t xml:space="preserve">[</t>
    </r>
    <r>
      <rPr>
        <sz val="10"/>
        <rFont val="Noto Sans CJK SC"/>
        <family val="2"/>
      </rPr>
      <t xml:space="preserve">개선 전</t>
    </r>
    <r>
      <rPr>
        <sz val="10"/>
        <rFont val="Malgun Gothic"/>
        <family val="3"/>
        <charset val="129"/>
      </rPr>
      <t xml:space="preserve">] addPassesJob </t>
    </r>
    <r>
      <rPr>
        <sz val="10"/>
        <rFont val="Noto Sans CJK SC"/>
        <family val="2"/>
      </rPr>
      <t xml:space="preserve">처리 시간</t>
    </r>
  </si>
  <si>
    <r>
      <rPr>
        <sz val="10"/>
        <rFont val="Malgun Gothic"/>
        <family val="3"/>
        <charset val="129"/>
      </rPr>
      <t xml:space="preserve">bulk_pass 100</t>
    </r>
    <r>
      <rPr>
        <sz val="10"/>
        <rFont val="Noto Sans CJK SC"/>
        <family val="2"/>
      </rPr>
      <t xml:space="preserve">건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모두 </t>
    </r>
    <r>
      <rPr>
        <sz val="10"/>
        <rFont val="Malgun Gothic"/>
        <family val="3"/>
        <charset val="129"/>
      </rPr>
      <t xml:space="preserve">userId A1000000)</t>
    </r>
  </si>
  <si>
    <r>
      <rPr>
        <sz val="10"/>
        <rFont val="Malgun Gothic"/>
        <family val="3"/>
        <charset val="129"/>
      </rPr>
      <t xml:space="preserve">1. bulkinsert.js</t>
    </r>
    <r>
      <rPr>
        <sz val="10"/>
        <rFont val="Noto Sans CJK SC"/>
        <family val="2"/>
      </rPr>
      <t xml:space="preserve">로 </t>
    </r>
    <r>
      <rPr>
        <sz val="10"/>
        <rFont val="Malgun Gothic"/>
        <family val="3"/>
        <charset val="129"/>
      </rPr>
      <t xml:space="preserve">bulk_pass</t>
    </r>
    <r>
      <rPr>
        <sz val="10"/>
        <rFont val="Noto Sans CJK SC"/>
        <family val="2"/>
      </rPr>
      <t xml:space="preserve">를 </t>
    </r>
    <r>
      <rPr>
        <sz val="10"/>
        <rFont val="Malgun Gothic"/>
        <family val="3"/>
        <charset val="129"/>
      </rPr>
      <t xml:space="preserve">N</t>
    </r>
    <r>
      <rPr>
        <sz val="10"/>
        <rFont val="Noto Sans CJK SC"/>
        <family val="2"/>
      </rPr>
      <t xml:space="preserve">건 적재
</t>
    </r>
    <r>
      <rPr>
        <sz val="10"/>
        <rFont val="Malgun Gothic"/>
        <family val="3"/>
        <charset val="129"/>
      </rPr>
      <t xml:space="preserve">2. batch.js</t>
    </r>
    <r>
      <rPr>
        <sz val="10"/>
        <rFont val="Noto Sans CJK SC"/>
        <family val="2"/>
      </rPr>
      <t xml:space="preserve">로 </t>
    </r>
    <r>
      <rPr>
        <sz val="10"/>
        <rFont val="Malgun Gothic"/>
        <family val="3"/>
        <charset val="129"/>
      </rPr>
      <t xml:space="preserve">POST /job/launcher (addPassesJob) 1</t>
    </r>
    <r>
      <rPr>
        <sz val="10"/>
        <rFont val="Noto Sans CJK SC"/>
        <family val="2"/>
      </rPr>
      <t xml:space="preserve">회 호출
</t>
    </r>
    <r>
      <rPr>
        <sz val="10"/>
        <rFont val="Malgun Gothic"/>
        <family val="3"/>
        <charset val="129"/>
      </rPr>
      <t xml:space="preserve">3. </t>
    </r>
    <r>
      <rPr>
        <sz val="10"/>
        <rFont val="Noto Sans CJK SC"/>
        <family val="2"/>
      </rPr>
      <t xml:space="preserve">응답 시간과 </t>
    </r>
    <r>
      <rPr>
        <sz val="10"/>
        <rFont val="Malgun Gothic"/>
        <family val="3"/>
        <charset val="129"/>
      </rPr>
      <t xml:space="preserve">COMPLETED </t>
    </r>
    <r>
      <rPr>
        <sz val="10"/>
        <rFont val="Noto Sans CJK SC"/>
        <family val="2"/>
      </rPr>
      <t xml:space="preserve">포함 여부 확인</t>
    </r>
  </si>
  <si>
    <r>
      <rPr>
        <sz val="10"/>
        <rFont val="Malgun Gothic"/>
        <family val="3"/>
        <charset val="129"/>
      </rPr>
      <t xml:space="preserve">300</t>
    </r>
    <r>
      <rPr>
        <sz val="10"/>
        <rFont val="Noto Sans CJK SC"/>
        <family val="2"/>
      </rPr>
      <t xml:space="preserve">초</t>
    </r>
    <r>
      <rPr>
        <sz val="10"/>
        <rFont val="Malgun Gothic"/>
        <family val="3"/>
        <charset val="129"/>
      </rPr>
      <t xml:space="preserve">(timeout) </t>
    </r>
    <r>
      <rPr>
        <sz val="10"/>
        <rFont val="Noto Sans CJK SC"/>
        <family val="2"/>
      </rPr>
      <t xml:space="preserve">안에 </t>
    </r>
    <r>
      <rPr>
        <sz val="10"/>
        <rFont val="Malgun Gothic"/>
        <family val="3"/>
        <charset val="129"/>
      </rPr>
      <t xml:space="preserve">COMPLETED </t>
    </r>
    <r>
      <rPr>
        <sz val="10"/>
        <rFont val="Noto Sans CJK SC"/>
        <family val="2"/>
      </rPr>
      <t xml:space="preserve">응답</t>
    </r>
  </si>
  <si>
    <r>
      <rPr>
        <sz val="10"/>
        <rFont val="Malgun Gothic"/>
        <family val="3"/>
        <charset val="129"/>
      </rPr>
      <t xml:space="preserve">17.01</t>
    </r>
    <r>
      <rPr>
        <sz val="10"/>
        <rFont val="Noto Sans CJK SC"/>
        <family val="2"/>
      </rPr>
      <t xml:space="preserve">초 </t>
    </r>
    <r>
      <rPr>
        <sz val="10"/>
        <rFont val="Malgun Gothic"/>
        <family val="3"/>
        <charset val="129"/>
      </rPr>
      <t xml:space="preserve">(170.1ms/</t>
    </r>
    <r>
      <rPr>
        <sz val="10"/>
        <rFont val="Noto Sans CJK SC"/>
        <family val="2"/>
      </rPr>
      <t xml:space="preserve">건</t>
    </r>
    <r>
      <rPr>
        <sz val="10"/>
        <rFont val="Malgun Gothic"/>
        <family val="3"/>
        <charset val="129"/>
      </rPr>
      <t xml:space="preserve">), 200 OK, COMPLETED</t>
    </r>
  </si>
  <si>
    <t xml:space="preserve">k6 (bulkinsert.js, batch.js)</t>
  </si>
  <si>
    <t xml:space="preserve">보고서 3.2, 3.5</t>
  </si>
  <si>
    <t xml:space="preserve">성능 측정 (건수 단계 증가)</t>
  </si>
  <si>
    <t xml:space="preserve">BT-02</t>
  </si>
  <si>
    <r>
      <rPr>
        <sz val="10"/>
        <rFont val="Malgun Gothic"/>
        <family val="3"/>
        <charset val="129"/>
      </rPr>
      <t xml:space="preserve">bulk_pass 200</t>
    </r>
    <r>
      <rPr>
        <sz val="10"/>
        <rFont val="Noto Sans CJK SC"/>
        <family val="2"/>
      </rPr>
      <t xml:space="preserve">건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모두 </t>
    </r>
    <r>
      <rPr>
        <sz val="10"/>
        <rFont val="Malgun Gothic"/>
        <family val="3"/>
        <charset val="129"/>
      </rPr>
      <t xml:space="preserve">userId A1000000)</t>
    </r>
  </si>
  <si>
    <r>
      <rPr>
        <sz val="10"/>
        <rFont val="Malgun Gothic"/>
        <family val="3"/>
        <charset val="129"/>
      </rPr>
      <t xml:space="preserve">99</t>
    </r>
    <r>
      <rPr>
        <sz val="10"/>
        <rFont val="Noto Sans CJK SC"/>
        <family val="2"/>
      </rPr>
      <t xml:space="preserve">초 </t>
    </r>
    <r>
      <rPr>
        <sz val="10"/>
        <rFont val="Malgun Gothic"/>
        <family val="3"/>
        <charset val="129"/>
      </rPr>
      <t xml:space="preserve">(495.0ms/</t>
    </r>
    <r>
      <rPr>
        <sz val="10"/>
        <rFont val="Noto Sans CJK SC"/>
        <family val="2"/>
      </rPr>
      <t xml:space="preserve">건</t>
    </r>
    <r>
      <rPr>
        <sz val="10"/>
        <rFont val="Malgun Gothic"/>
        <family val="3"/>
        <charset val="129"/>
      </rPr>
      <t xml:space="preserve">), 200 OK, COMPLETED</t>
    </r>
  </si>
  <si>
    <t xml:space="preserve">BT-03</t>
  </si>
  <si>
    <r>
      <rPr>
        <sz val="10"/>
        <rFont val="Malgun Gothic"/>
        <family val="3"/>
        <charset val="129"/>
      </rPr>
      <t xml:space="preserve">bulk_pass 400</t>
    </r>
    <r>
      <rPr>
        <sz val="10"/>
        <rFont val="Noto Sans CJK SC"/>
        <family val="2"/>
      </rPr>
      <t xml:space="preserve">건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모두 </t>
    </r>
    <r>
      <rPr>
        <sz val="10"/>
        <rFont val="Malgun Gothic"/>
        <family val="3"/>
        <charset val="129"/>
      </rPr>
      <t xml:space="preserve">userId A1000000)</t>
    </r>
  </si>
  <si>
    <r>
      <rPr>
        <sz val="10"/>
        <rFont val="Malgun Gothic"/>
        <family val="3"/>
        <charset val="129"/>
      </rPr>
      <t xml:space="preserve">300</t>
    </r>
    <r>
      <rPr>
        <sz val="10"/>
        <rFont val="Noto Sans CJK SC"/>
        <family val="2"/>
      </rPr>
      <t xml:space="preserve">초 안에 응답 없음 </t>
    </r>
    <r>
      <rPr>
        <sz val="10"/>
        <rFont val="Malgun Gothic"/>
        <family val="3"/>
        <charset val="129"/>
      </rPr>
      <t xml:space="preserve">(k6 timeout)</t>
    </r>
  </si>
  <si>
    <t xml:space="preserve">BT-04</t>
  </si>
  <si>
    <r>
      <rPr>
        <sz val="10"/>
        <rFont val="Malgun Gothic"/>
        <family val="3"/>
        <charset val="129"/>
      </rPr>
      <t xml:space="preserve">[</t>
    </r>
    <r>
      <rPr>
        <sz val="10"/>
        <rFont val="Noto Sans CJK SC"/>
        <family val="2"/>
      </rPr>
      <t xml:space="preserve">개선 전</t>
    </r>
    <r>
      <rPr>
        <sz val="10"/>
        <rFont val="Malgun Gothic"/>
        <family val="3"/>
        <charset val="129"/>
      </rPr>
      <t xml:space="preserve">] </t>
    </r>
    <r>
      <rPr>
        <sz val="10"/>
        <rFont val="Noto Sans CJK SC"/>
        <family val="2"/>
      </rPr>
      <t xml:space="preserve">처리 시간 증가 패턴</t>
    </r>
  </si>
  <si>
    <r>
      <rPr>
        <sz val="10"/>
        <rFont val="Malgun Gothic"/>
        <family val="3"/>
        <charset val="129"/>
      </rPr>
      <t xml:space="preserve">100</t>
    </r>
    <r>
      <rPr>
        <sz val="10"/>
        <rFont val="Noto Sans CJK SC"/>
        <family val="2"/>
      </rPr>
      <t xml:space="preserve">건 → </t>
    </r>
    <r>
      <rPr>
        <sz val="10"/>
        <rFont val="Malgun Gothic"/>
        <family val="3"/>
        <charset val="129"/>
      </rPr>
      <t xml:space="preserve">200</t>
    </r>
    <r>
      <rPr>
        <sz val="10"/>
        <rFont val="Noto Sans CJK SC"/>
        <family val="2"/>
      </rPr>
      <t xml:space="preserve">건</t>
    </r>
  </si>
  <si>
    <r>
      <rPr>
        <sz val="10"/>
        <rFont val="Malgun Gothic"/>
        <family val="3"/>
        <charset val="129"/>
      </rPr>
      <t xml:space="preserve">BT-01, BT-02</t>
    </r>
    <r>
      <rPr>
        <sz val="10"/>
        <rFont val="Noto Sans CJK SC"/>
        <family val="2"/>
      </rPr>
      <t xml:space="preserve">의 소요 시간 비교</t>
    </r>
  </si>
  <si>
    <t xml:space="preserve">건수가 2배가 되면 처리 시간도 약 2배 (선형 증가)</t>
  </si>
  <si>
    <t xml:space="preserve">건수 2배에 시간 5.8배 (17.01초 → 99초). 건당 SELECT 2k+2회 반복 조회가 원인</t>
  </si>
  <si>
    <t xml:space="preserve">측정값 비교 + 코드 분석</t>
  </si>
  <si>
    <t xml:space="preserve">보고서 3.2, 3.3</t>
  </si>
  <si>
    <r>
      <rPr>
        <sz val="10"/>
        <rFont val="Malgun Gothic"/>
        <family val="3"/>
        <charset val="129"/>
      </rPr>
      <t xml:space="preserve">1</t>
    </r>
    <r>
      <rPr>
        <sz val="10"/>
        <rFont val="Noto Sans CJK SC"/>
        <family val="2"/>
      </rPr>
      <t xml:space="preserve">만 건 요구사항 처리 불가로 판단</t>
    </r>
  </si>
  <si>
    <r>
      <rPr>
        <sz val="10"/>
        <rFont val="Noto Sans CJK SC"/>
        <family val="2"/>
      </rPr>
      <t xml:space="preserve">코드 기반 분석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반복문 조회 횟수 </t>
    </r>
    <r>
      <rPr>
        <sz val="10"/>
        <rFont val="Malgun Gothic"/>
        <family val="3"/>
        <charset val="129"/>
      </rPr>
      <t xml:space="preserve">2k+2)</t>
    </r>
  </si>
  <si>
    <t xml:space="preserve">BT-05</t>
  </si>
  <si>
    <r>
      <rPr>
        <sz val="10"/>
        <rFont val="Malgun Gothic"/>
        <family val="3"/>
        <charset val="129"/>
      </rPr>
      <t xml:space="preserve">[</t>
    </r>
    <r>
      <rPr>
        <sz val="10"/>
        <rFont val="Noto Sans CJK SC"/>
        <family val="2"/>
      </rPr>
      <t xml:space="preserve">개선 후</t>
    </r>
    <r>
      <rPr>
        <sz val="10"/>
        <rFont val="Malgun Gothic"/>
        <family val="3"/>
        <charset val="129"/>
      </rPr>
      <t xml:space="preserve">] addPassesJob </t>
    </r>
    <r>
      <rPr>
        <sz val="10"/>
        <rFont val="Noto Sans CJK SC"/>
        <family val="2"/>
      </rPr>
      <t xml:space="preserve">처리 시간</t>
    </r>
  </si>
  <si>
    <r>
      <rPr>
        <sz val="10"/>
        <rFont val="Malgun Gothic"/>
        <family val="3"/>
        <charset val="129"/>
      </rPr>
      <t xml:space="preserve">161.48ms (1.61ms/</t>
    </r>
    <r>
      <rPr>
        <sz val="10"/>
        <rFont val="Noto Sans CJK SC"/>
        <family val="2"/>
      </rPr>
      <t xml:space="preserve">건</t>
    </r>
    <r>
      <rPr>
        <sz val="10"/>
        <rFont val="Malgun Gothic"/>
        <family val="3"/>
        <charset val="129"/>
      </rPr>
      <t xml:space="preserve">), 200 OK, COMPLETED</t>
    </r>
  </si>
  <si>
    <t xml:space="preserve">BT-06</t>
  </si>
  <si>
    <r>
      <rPr>
        <sz val="10"/>
        <rFont val="Malgun Gothic"/>
        <family val="3"/>
        <charset val="129"/>
      </rPr>
      <t xml:space="preserve">278.15ms (1.39ms/</t>
    </r>
    <r>
      <rPr>
        <sz val="10"/>
        <rFont val="Noto Sans CJK SC"/>
        <family val="2"/>
      </rPr>
      <t xml:space="preserve">건</t>
    </r>
    <r>
      <rPr>
        <sz val="10"/>
        <rFont val="Malgun Gothic"/>
        <family val="3"/>
        <charset val="129"/>
      </rPr>
      <t xml:space="preserve">), 200 OK, COMPLETED</t>
    </r>
  </si>
  <si>
    <t xml:space="preserve">BT-07</t>
  </si>
  <si>
    <r>
      <rPr>
        <sz val="10"/>
        <rFont val="Malgun Gothic"/>
        <family val="3"/>
        <charset val="129"/>
      </rPr>
      <t xml:space="preserve">467.71ms (1.17ms/</t>
    </r>
    <r>
      <rPr>
        <sz val="10"/>
        <rFont val="Noto Sans CJK SC"/>
        <family val="2"/>
      </rPr>
      <t xml:space="preserve">건</t>
    </r>
    <r>
      <rPr>
        <sz val="10"/>
        <rFont val="Malgun Gothic"/>
        <family val="3"/>
        <charset val="129"/>
      </rPr>
      <t xml:space="preserve">), 200 OK, COMPLETED</t>
    </r>
  </si>
  <si>
    <t xml:space="preserve">BT-08</t>
  </si>
  <si>
    <r>
      <rPr>
        <sz val="10"/>
        <rFont val="Malgun Gothic"/>
        <family val="3"/>
        <charset val="129"/>
      </rPr>
      <t xml:space="preserve">bulk_pass 10,000</t>
    </r>
    <r>
      <rPr>
        <sz val="10"/>
        <rFont val="Noto Sans CJK SC"/>
        <family val="2"/>
      </rPr>
      <t xml:space="preserve">건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모두 </t>
    </r>
    <r>
      <rPr>
        <sz val="10"/>
        <rFont val="Malgun Gothic"/>
        <family val="3"/>
        <charset val="129"/>
      </rPr>
      <t xml:space="preserve">userId A1000000)</t>
    </r>
  </si>
  <si>
    <r>
      <rPr>
        <sz val="10"/>
        <rFont val="Malgun Gothic"/>
        <family val="3"/>
        <charset val="129"/>
      </rPr>
      <t xml:space="preserve">11.39</t>
    </r>
    <r>
      <rPr>
        <sz val="10"/>
        <rFont val="Noto Sans CJK SC"/>
        <family val="2"/>
      </rPr>
      <t xml:space="preserve">초 </t>
    </r>
    <r>
      <rPr>
        <sz val="10"/>
        <rFont val="Malgun Gothic"/>
        <family val="3"/>
        <charset val="129"/>
      </rPr>
      <t xml:space="preserve">(1.14ms/</t>
    </r>
    <r>
      <rPr>
        <sz val="10"/>
        <rFont val="Noto Sans CJK SC"/>
        <family val="2"/>
      </rPr>
      <t xml:space="preserve">건</t>
    </r>
    <r>
      <rPr>
        <sz val="10"/>
        <rFont val="Malgun Gothic"/>
        <family val="3"/>
        <charset val="129"/>
      </rPr>
      <t xml:space="preserve">), 200 OK, COMPLETED</t>
    </r>
  </si>
  <si>
    <t xml:space="preserve">BT-09</t>
  </si>
  <si>
    <r>
      <rPr>
        <sz val="10"/>
        <rFont val="Malgun Gothic"/>
        <family val="3"/>
        <charset val="129"/>
      </rPr>
      <t xml:space="preserve">[</t>
    </r>
    <r>
      <rPr>
        <sz val="10"/>
        <rFont val="Noto Sans CJK SC"/>
        <family val="2"/>
      </rPr>
      <t xml:space="preserve">개선 후</t>
    </r>
    <r>
      <rPr>
        <sz val="10"/>
        <rFont val="Malgun Gothic"/>
        <family val="3"/>
        <charset val="129"/>
      </rPr>
      <t xml:space="preserve">] </t>
    </r>
    <r>
      <rPr>
        <sz val="10"/>
        <rFont val="Noto Sans CJK SC"/>
        <family val="2"/>
      </rPr>
      <t xml:space="preserve">처리 시간 증가 패턴</t>
    </r>
  </si>
  <si>
    <r>
      <rPr>
        <sz val="10"/>
        <rFont val="Malgun Gothic"/>
        <family val="3"/>
        <charset val="129"/>
      </rPr>
      <t xml:space="preserve">400</t>
    </r>
    <r>
      <rPr>
        <sz val="10"/>
        <rFont val="Noto Sans CJK SC"/>
        <family val="2"/>
      </rPr>
      <t xml:space="preserve">건 → </t>
    </r>
    <r>
      <rPr>
        <sz val="10"/>
        <rFont val="Malgun Gothic"/>
        <family val="3"/>
        <charset val="129"/>
      </rPr>
      <t xml:space="preserve">10,000</t>
    </r>
    <r>
      <rPr>
        <sz val="10"/>
        <rFont val="Noto Sans CJK SC"/>
        <family val="2"/>
      </rPr>
      <t xml:space="preserve">건</t>
    </r>
  </si>
  <si>
    <r>
      <rPr>
        <sz val="10"/>
        <rFont val="Malgun Gothic"/>
        <family val="3"/>
        <charset val="129"/>
      </rPr>
      <t xml:space="preserve">BT-07, BT-08</t>
    </r>
    <r>
      <rPr>
        <sz val="10"/>
        <rFont val="Noto Sans CJK SC"/>
        <family val="2"/>
      </rPr>
      <t xml:space="preserve">의 소요 시간 비교</t>
    </r>
  </si>
  <si>
    <t xml:space="preserve">건수에 비례하는 선형 증가</t>
  </si>
  <si>
    <t xml:space="preserve">건수 25배에 시간 24.4배 (467.71ms → 11.39초)</t>
  </si>
  <si>
    <t xml:space="preserve">측정값 비교</t>
  </si>
  <si>
    <t xml:space="preserve">보고서 3.5, 3.6</t>
  </si>
  <si>
    <r>
      <rPr>
        <sz val="10"/>
        <rFont val="Malgun Gothic"/>
        <family val="3"/>
        <charset val="129"/>
      </rPr>
      <t xml:space="preserve">PERF-001 </t>
    </r>
    <r>
      <rPr>
        <sz val="10"/>
        <rFont val="Noto Sans CJK SC"/>
        <family val="2"/>
      </rPr>
      <t xml:space="preserve">수정 확인</t>
    </r>
  </si>
  <si>
    <r>
      <rPr>
        <sz val="10"/>
        <rFont val="Noto Sans CJK SC"/>
        <family val="2"/>
      </rPr>
      <t xml:space="preserve">성능 측정 </t>
    </r>
    <r>
      <rPr>
        <sz val="10"/>
        <rFont val="Malgun Gothic"/>
        <family val="3"/>
        <charset val="129"/>
      </rPr>
      <t xml:space="preserve">+ </t>
    </r>
    <r>
      <rPr>
        <sz val="10"/>
        <rFont val="Noto Sans CJK SC"/>
        <family val="2"/>
      </rPr>
      <t xml:space="preserve">확인 테스트 </t>
    </r>
    <r>
      <rPr>
        <sz val="10"/>
        <rFont val="Malgun Gothic"/>
        <family val="3"/>
        <charset val="129"/>
      </rPr>
      <t xml:space="preserve">(PERF-001)</t>
    </r>
  </si>
  <si>
    <t xml:space="preserve">BT-10</t>
  </si>
  <si>
    <r>
      <rPr>
        <sz val="10"/>
        <rFont val="Malgun Gothic"/>
        <family val="3"/>
        <charset val="129"/>
      </rPr>
      <t xml:space="preserve">bulk_pass </t>
    </r>
    <r>
      <rPr>
        <sz val="10"/>
        <rFont val="Noto Sans CJK SC"/>
        <family val="2"/>
      </rPr>
      <t xml:space="preserve">상태 변경</t>
    </r>
  </si>
  <si>
    <t xml:space="preserve">데이터 정합성</t>
  </si>
  <si>
    <t xml:space="preserve">처리 대상 N건</t>
  </si>
  <si>
    <t xml:space="preserve">SELECT status, COUNT(*) FROM bulk_pass GROUP BY status;</t>
  </si>
  <si>
    <t xml:space="preserve">처리 대상 N건이 모두 COMPLETED, READY 0건</t>
  </si>
  <si>
    <r>
      <rPr>
        <sz val="10"/>
        <rFont val="Malgun Gothic"/>
        <family val="3"/>
        <charset val="129"/>
      </rPr>
      <t xml:space="preserve">N</t>
    </r>
    <r>
      <rPr>
        <sz val="10"/>
        <rFont val="Noto Sans CJK SC"/>
        <family val="2"/>
      </rPr>
      <t xml:space="preserve">건 </t>
    </r>
    <r>
      <rPr>
        <sz val="10"/>
        <rFont val="Malgun Gothic"/>
        <family val="3"/>
        <charset val="129"/>
      </rPr>
      <t xml:space="preserve">COMPLETED </t>
    </r>
    <r>
      <rPr>
        <sz val="10"/>
        <rFont val="Noto Sans CJK SC"/>
        <family val="2"/>
      </rPr>
      <t xml:space="preserve">확인</t>
    </r>
  </si>
  <si>
    <t xml:space="preserve">SQL</t>
  </si>
  <si>
    <t xml:space="preserve">보고서 3.1</t>
  </si>
  <si>
    <t xml:space="preserve">결과 대조 (DB 정합성) + 리그레션 (PERF-001 수정 후 동작 동일)</t>
  </si>
  <si>
    <t xml:space="preserve">BT-11</t>
  </si>
  <si>
    <r>
      <rPr>
        <sz val="10"/>
        <rFont val="Malgun Gothic"/>
        <family val="3"/>
        <charset val="129"/>
      </rPr>
      <t xml:space="preserve">pass·booking </t>
    </r>
    <r>
      <rPr>
        <sz val="10"/>
        <rFont val="Noto Sans CJK SC"/>
        <family val="2"/>
      </rPr>
      <t xml:space="preserve">생성 수</t>
    </r>
  </si>
  <si>
    <t xml:space="preserve">1. SELECT COUNT(*) FROM pass;
2. SELECT COUNT(*) FROM booking;</t>
  </si>
  <si>
    <r>
      <rPr>
        <sz val="10"/>
        <rFont val="Malgun Gothic"/>
        <family val="3"/>
        <charset val="129"/>
      </rPr>
      <t xml:space="preserve">pass N</t>
    </r>
    <r>
      <rPr>
        <sz val="10"/>
        <rFont val="Noto Sans CJK SC"/>
        <family val="2"/>
      </rPr>
      <t xml:space="preserve">건</t>
    </r>
    <r>
      <rPr>
        <sz val="10"/>
        <rFont val="Malgun Gothic"/>
        <family val="3"/>
        <charset val="129"/>
      </rPr>
      <t xml:space="preserve">, booking N</t>
    </r>
    <r>
      <rPr>
        <sz val="10"/>
        <rFont val="Noto Sans CJK SC"/>
        <family val="2"/>
      </rPr>
      <t xml:space="preserve">건 생성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개선 전과 동일한 동작</t>
    </r>
    <r>
      <rPr>
        <sz val="10"/>
        <rFont val="Malgun Gothic"/>
        <family val="3"/>
        <charset val="129"/>
      </rPr>
      <t xml:space="preserve">)</t>
    </r>
  </si>
  <si>
    <t xml:space="preserve">각 N건 생성 확인</t>
  </si>
  <si>
    <t xml:space="preserve">보고서 3.4</t>
  </si>
  <si>
    <t xml:space="preserve">BT-12</t>
  </si>
  <si>
    <r>
      <rPr>
        <sz val="10"/>
        <rFont val="Malgun Gothic"/>
        <family val="3"/>
        <charset val="129"/>
      </rPr>
      <t xml:space="preserve">booking</t>
    </r>
    <r>
      <rPr>
        <sz val="10"/>
        <rFont val="Noto Sans CJK SC"/>
        <family val="2"/>
      </rPr>
      <t xml:space="preserve">의 </t>
    </r>
    <r>
      <rPr>
        <sz val="10"/>
        <rFont val="Malgun Gothic"/>
        <family val="3"/>
        <charset val="129"/>
      </rPr>
      <t xml:space="preserve">pass_seq </t>
    </r>
    <r>
      <rPr>
        <sz val="10"/>
        <rFont val="Noto Sans CJK SC"/>
        <family val="2"/>
      </rPr>
      <t xml:space="preserve">고유성</t>
    </r>
  </si>
  <si>
    <t xml:space="preserve">SELECT COUNT(DISTINCT pass_seq) FROM booking;</t>
  </si>
  <si>
    <t xml:space="preserve">서로 다른 pass_seq가 N개 (booking마다 다른 이용권 연결)</t>
  </si>
  <si>
    <r>
      <rPr>
        <sz val="10"/>
        <rFont val="Malgun Gothic"/>
        <family val="3"/>
        <charset val="129"/>
      </rPr>
      <t xml:space="preserve">N</t>
    </r>
    <r>
      <rPr>
        <sz val="10"/>
        <rFont val="Noto Sans CJK SC"/>
        <family val="2"/>
      </rPr>
      <t xml:space="preserve">개 확인</t>
    </r>
  </si>
  <si>
    <t xml:space="preserve">BT-13</t>
  </si>
  <si>
    <r>
      <rPr>
        <sz val="10"/>
        <rFont val="Malgun Gothic"/>
        <family val="3"/>
        <charset val="129"/>
      </rPr>
      <t xml:space="preserve">booking-pass </t>
    </r>
    <r>
      <rPr>
        <sz val="10"/>
        <rFont val="Noto Sans CJK SC"/>
        <family val="2"/>
      </rPr>
      <t xml:space="preserve">연결 정합성</t>
    </r>
  </si>
  <si>
    <t xml:space="preserve">SELECT COUNT(*) FROM booking b LEFT JOIN pass p ON b.pass_seq = p.pass_seq WHERE p.pass_seq IS NULL;</t>
  </si>
  <si>
    <t xml:space="preserve">결과 0건 (모든 booking이 존재하는 pass에 연결)</t>
  </si>
  <si>
    <t xml:space="preserve">연결되는 pass가 없는 booking 0건</t>
  </si>
  <si>
    <t xml:space="preserve">pytest + requests + PyMySQL (test_batch.py)</t>
  </si>
  <si>
    <t xml:space="preserve">결과 대조 (DB 정합성)</t>
  </si>
  <si>
    <t xml:space="preserve">BT-14</t>
  </si>
  <si>
    <t xml:space="preserve">처리 대상 기간 경계</t>
  </si>
  <si>
    <t xml:space="preserve">경계값</t>
  </si>
  <si>
    <r>
      <rPr>
        <sz val="10"/>
        <rFont val="Malgun Gothic"/>
        <family val="3"/>
        <charset val="129"/>
      </rPr>
      <t xml:space="preserve">startedAt = </t>
    </r>
    <r>
      <rPr>
        <sz val="10"/>
        <rFont val="Noto Sans CJK SC"/>
        <family val="2"/>
      </rPr>
      <t xml:space="preserve">현재 − </t>
    </r>
    <r>
      <rPr>
        <sz val="10"/>
        <rFont val="Malgun Gothic"/>
        <family val="3"/>
        <charset val="129"/>
      </rPr>
      <t xml:space="preserve">1</t>
    </r>
    <r>
      <rPr>
        <sz val="10"/>
        <rFont val="Noto Sans CJK SC"/>
        <family val="2"/>
      </rPr>
      <t xml:space="preserve">일 − </t>
    </r>
    <r>
      <rPr>
        <sz val="10"/>
        <rFont val="Malgun Gothic"/>
        <family val="3"/>
        <charset val="129"/>
      </rPr>
      <t xml:space="preserve">1</t>
    </r>
    <r>
      <rPr>
        <sz val="10"/>
        <rFont val="Noto Sans CJK SC"/>
        <family val="2"/>
      </rPr>
      <t xml:space="preserve">분 </t>
    </r>
    <r>
      <rPr>
        <sz val="10"/>
        <rFont val="Malgun Gothic"/>
        <family val="3"/>
        <charset val="129"/>
      </rPr>
      <t xml:space="preserve">/ </t>
    </r>
    <r>
      <rPr>
        <sz val="10"/>
        <rFont val="Noto Sans CJK SC"/>
        <family val="2"/>
      </rPr>
      <t xml:space="preserve">현재 − </t>
    </r>
    <r>
      <rPr>
        <sz val="10"/>
        <rFont val="Malgun Gothic"/>
        <family val="3"/>
        <charset val="129"/>
      </rPr>
      <t xml:space="preserve">1</t>
    </r>
    <r>
      <rPr>
        <sz val="10"/>
        <rFont val="Noto Sans CJK SC"/>
        <family val="2"/>
      </rPr>
      <t xml:space="preserve">일 </t>
    </r>
    <r>
      <rPr>
        <sz val="10"/>
        <rFont val="Malgun Gothic"/>
        <family val="3"/>
        <charset val="129"/>
      </rPr>
      <t xml:space="preserve">+ 1</t>
    </r>
    <r>
      <rPr>
        <sz val="10"/>
        <rFont val="Noto Sans CJK SC"/>
        <family val="2"/>
      </rPr>
      <t xml:space="preserve">분</t>
    </r>
  </si>
  <si>
    <r>
      <rPr>
        <sz val="10"/>
        <rFont val="Malgun Gothic"/>
        <family val="3"/>
        <charset val="129"/>
      </rPr>
      <t xml:space="preserve">1. </t>
    </r>
    <r>
      <rPr>
        <sz val="10"/>
        <rFont val="Noto Sans CJK SC"/>
        <family val="2"/>
      </rPr>
      <t xml:space="preserve">시작 일시가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현재 − </t>
    </r>
    <r>
      <rPr>
        <sz val="10"/>
        <rFont val="Malgun Gothic"/>
        <family val="3"/>
        <charset val="129"/>
      </rPr>
      <t xml:space="preserve">1</t>
    </r>
    <r>
      <rPr>
        <sz val="10"/>
        <rFont val="Noto Sans CJK SC"/>
        <family val="2"/>
      </rPr>
      <t xml:space="preserve">일</t>
    </r>
    <r>
      <rPr>
        <sz val="10"/>
        <rFont val="Malgun Gothic"/>
        <family val="3"/>
        <charset val="129"/>
      </rPr>
      <t xml:space="preserve">) </t>
    </r>
    <r>
      <rPr>
        <sz val="10"/>
        <rFont val="Noto Sans CJK SC"/>
        <family val="2"/>
      </rPr>
      <t xml:space="preserve">직전</t>
    </r>
    <r>
      <rPr>
        <sz val="10"/>
        <rFont val="Malgun Gothic"/>
        <family val="3"/>
        <charset val="129"/>
      </rPr>
      <t xml:space="preserve">·</t>
    </r>
    <r>
      <rPr>
        <sz val="10"/>
        <rFont val="Noto Sans CJK SC"/>
        <family val="2"/>
      </rPr>
      <t xml:space="preserve">직후인 </t>
    </r>
    <r>
      <rPr>
        <sz val="10"/>
        <rFont val="Malgun Gothic"/>
        <family val="3"/>
        <charset val="129"/>
      </rPr>
      <t xml:space="preserve">bulk_pass</t>
    </r>
    <r>
      <rPr>
        <sz val="10"/>
        <rFont val="Noto Sans CJK SC"/>
        <family val="2"/>
      </rPr>
      <t xml:space="preserve">를 각각 </t>
    </r>
    <r>
      <rPr>
        <sz val="10"/>
        <rFont val="Malgun Gothic"/>
        <family val="3"/>
        <charset val="129"/>
      </rPr>
      <t xml:space="preserve">READY</t>
    </r>
    <r>
      <rPr>
        <sz val="10"/>
        <rFont val="Noto Sans CJK SC"/>
        <family val="2"/>
      </rPr>
      <t xml:space="preserve">로 등록
</t>
    </r>
    <r>
      <rPr>
        <sz val="10"/>
        <rFont val="Malgun Gothic"/>
        <family val="3"/>
        <charset val="129"/>
      </rPr>
      <t xml:space="preserve">2. addPassesJob </t>
    </r>
    <r>
      <rPr>
        <sz val="10"/>
        <rFont val="Noto Sans CJK SC"/>
        <family val="2"/>
      </rPr>
      <t xml:space="preserve">실행
</t>
    </r>
    <r>
      <rPr>
        <sz val="10"/>
        <rFont val="Malgun Gothic"/>
        <family val="3"/>
        <charset val="129"/>
      </rPr>
      <t xml:space="preserve">3. </t>
    </r>
    <r>
      <rPr>
        <sz val="10"/>
        <rFont val="Noto Sans CJK SC"/>
        <family val="2"/>
      </rPr>
      <t xml:space="preserve">각 행의 </t>
    </r>
    <r>
      <rPr>
        <sz val="10"/>
        <rFont val="Malgun Gothic"/>
        <family val="3"/>
        <charset val="129"/>
      </rPr>
      <t xml:space="preserve">status </t>
    </r>
    <r>
      <rPr>
        <sz val="10"/>
        <rFont val="Noto Sans CJK SC"/>
        <family val="2"/>
      </rPr>
      <t xml:space="preserve">확인</t>
    </r>
  </si>
  <si>
    <t xml:space="preserve">직후 행만 COMPLETED, 직전 행은 READY 유지</t>
  </si>
  <si>
    <t xml:space="preserve">경계 안쪽(어제+5분)COMPLETED,
바깥 쪽(어제-5분)READY 유지</t>
  </si>
  <si>
    <t xml:space="preserve">보고서 3.1 (Job 처리 흐름)</t>
  </si>
  <si>
    <t xml:space="preserve">DEF-005 수정(배치 서버 시간대 변경) 후 재실행해 통과</t>
  </si>
  <si>
    <t xml:space="preserve">경계값 분석 (현재 − 1일 ± 5분) + 리그레션 (DEF-005)</t>
  </si>
  <si>
    <t xml:space="preserve">BT-15</t>
  </si>
  <si>
    <t xml:space="preserve">중단된 Job 재실행</t>
  </si>
  <si>
    <t xml:space="preserve">예외 처리</t>
  </si>
  <si>
    <t xml:space="preserve">Low</t>
  </si>
  <si>
    <r>
      <rPr>
        <sz val="10"/>
        <rFont val="Malgun Gothic"/>
        <family val="3"/>
        <charset val="129"/>
      </rPr>
      <t xml:space="preserve">addPassesJob </t>
    </r>
    <r>
      <rPr>
        <sz val="10"/>
        <rFont val="Noto Sans CJK SC"/>
        <family val="2"/>
      </rPr>
      <t xml:space="preserve">실행 도중 배치 서버 강제 종료</t>
    </r>
  </si>
  <si>
    <r>
      <rPr>
        <sz val="10"/>
        <rFont val="Malgun Gothic"/>
        <family val="3"/>
        <charset val="129"/>
      </rPr>
      <t xml:space="preserve">1. </t>
    </r>
    <r>
      <rPr>
        <sz val="10"/>
        <rFont val="Noto Sans CJK SC"/>
        <family val="2"/>
      </rPr>
      <t xml:space="preserve">배치 서버 재시작 후 </t>
    </r>
    <r>
      <rPr>
        <sz val="10"/>
        <rFont val="Malgun Gothic"/>
        <family val="3"/>
        <charset val="129"/>
      </rPr>
      <t xml:space="preserve">addPassesJob </t>
    </r>
    <r>
      <rPr>
        <sz val="10"/>
        <rFont val="Noto Sans CJK SC"/>
        <family val="2"/>
      </rPr>
      <t xml:space="preserve">재요청
</t>
    </r>
    <r>
      <rPr>
        <sz val="10"/>
        <rFont val="Malgun Gothic"/>
        <family val="3"/>
        <charset val="129"/>
      </rPr>
      <t xml:space="preserve">2. </t>
    </r>
    <r>
      <rPr>
        <sz val="10"/>
        <rFont val="Noto Sans CJK SC"/>
        <family val="2"/>
      </rPr>
      <t xml:space="preserve">오류 확인
</t>
    </r>
    <r>
      <rPr>
        <sz val="10"/>
        <rFont val="Malgun Gothic"/>
        <family val="3"/>
        <charset val="129"/>
      </rPr>
      <t xml:space="preserve">3. batch_job_execution, batch_step_execution</t>
    </r>
    <r>
      <rPr>
        <sz val="10"/>
        <rFont val="Noto Sans CJK SC"/>
        <family val="2"/>
      </rPr>
      <t xml:space="preserve">의 미종료 기록을 </t>
    </r>
    <r>
      <rPr>
        <sz val="10"/>
        <rFont val="Malgun Gothic"/>
        <family val="3"/>
        <charset val="129"/>
      </rPr>
      <t xml:space="preserve">FAILED</t>
    </r>
    <r>
      <rPr>
        <sz val="10"/>
        <rFont val="Noto Sans CJK SC"/>
        <family val="2"/>
      </rPr>
      <t xml:space="preserve">로 정리
</t>
    </r>
    <r>
      <rPr>
        <sz val="10"/>
        <rFont val="Malgun Gothic"/>
        <family val="3"/>
        <charset val="129"/>
      </rPr>
      <t xml:space="preserve">4. </t>
    </r>
    <r>
      <rPr>
        <sz val="10"/>
        <rFont val="Noto Sans CJK SC"/>
        <family val="2"/>
      </rPr>
      <t xml:space="preserve">다시 요청</t>
    </r>
  </si>
  <si>
    <r>
      <rPr>
        <sz val="10"/>
        <rFont val="Malgun Gothic"/>
        <family val="3"/>
        <charset val="129"/>
      </rPr>
      <t xml:space="preserve">2</t>
    </r>
    <r>
      <rPr>
        <sz val="10"/>
        <rFont val="Noto Sans CJK SC"/>
        <family val="2"/>
      </rPr>
      <t xml:space="preserve">단계에서 중복 실행이 거부되고</t>
    </r>
    <r>
      <rPr>
        <sz val="10"/>
        <rFont val="Malgun Gothic"/>
        <family val="3"/>
        <charset val="129"/>
      </rPr>
      <t xml:space="preserve">, </t>
    </r>
    <r>
      <rPr>
        <sz val="10"/>
        <rFont val="Noto Sans CJK SC"/>
        <family val="2"/>
      </rPr>
      <t xml:space="preserve">기록 정리 후 정상 실행</t>
    </r>
  </si>
  <si>
    <r>
      <rPr>
        <sz val="10"/>
        <rFont val="Malgun Gothic"/>
        <family val="3"/>
        <charset val="129"/>
      </rPr>
      <t xml:space="preserve">JobExecutionAlreadyRunningException </t>
    </r>
    <r>
      <rPr>
        <sz val="10"/>
        <rFont val="Noto Sans CJK SC"/>
        <family val="2"/>
      </rPr>
      <t xml:space="preserve">발생</t>
    </r>
    <r>
      <rPr>
        <sz val="10"/>
        <rFont val="Malgun Gothic"/>
        <family val="3"/>
        <charset val="129"/>
      </rPr>
      <t xml:space="preserve">, </t>
    </r>
    <r>
      <rPr>
        <sz val="10"/>
        <rFont val="Noto Sans CJK SC"/>
        <family val="2"/>
      </rPr>
      <t xml:space="preserve">기록 정리 후 </t>
    </r>
    <r>
      <rPr>
        <sz val="10"/>
        <rFont val="Malgun Gothic"/>
        <family val="3"/>
        <charset val="129"/>
      </rPr>
      <t xml:space="preserve">COMPLETED</t>
    </r>
  </si>
  <si>
    <t xml:space="preserve">k6 + SQL</t>
  </si>
  <si>
    <t xml:space="preserve">보고서 3.7</t>
  </si>
  <si>
    <r>
      <rPr>
        <sz val="10"/>
        <rFont val="Malgun Gothic"/>
        <family val="3"/>
        <charset val="129"/>
      </rPr>
      <t xml:space="preserve">Spring Batch</t>
    </r>
    <r>
      <rPr>
        <sz val="10"/>
        <rFont val="Noto Sans CJK SC"/>
        <family val="2"/>
      </rPr>
      <t xml:space="preserve">의 중복 실행 방지 동작</t>
    </r>
    <r>
      <rPr>
        <sz val="10"/>
        <rFont val="Malgun Gothic"/>
        <family val="3"/>
        <charset val="129"/>
      </rPr>
      <t xml:space="preserve">. </t>
    </r>
    <r>
      <rPr>
        <sz val="10"/>
        <rFont val="Noto Sans CJK SC"/>
        <family val="2"/>
      </rPr>
      <t xml:space="preserve">자동 복구 절차는 없음</t>
    </r>
  </si>
  <si>
    <r>
      <rPr>
        <sz val="10"/>
        <rFont val="Noto Sans CJK SC"/>
        <family val="2"/>
      </rPr>
      <t xml:space="preserve">상태 전이 테스팅 </t>
    </r>
    <r>
      <rPr>
        <sz val="10"/>
        <rFont val="Malgun Gothic"/>
        <family val="3"/>
        <charset val="129"/>
      </rPr>
      <t xml:space="preserve">(STARTED → </t>
    </r>
    <r>
      <rPr>
        <sz val="10"/>
        <rFont val="Noto Sans CJK SC"/>
        <family val="2"/>
      </rPr>
      <t xml:space="preserve">재실행 거부 → 정리 → 실행</t>
    </r>
    <r>
      <rPr>
        <sz val="10"/>
        <rFont val="Malgun Gothic"/>
        <family val="3"/>
        <charset val="129"/>
      </rPr>
      <t xml:space="preserve">)</t>
    </r>
  </si>
  <si>
    <t xml:space="preserve">L-01</t>
  </si>
  <si>
    <t xml:space="preserve">정상 로그인</t>
  </si>
  <si>
    <t xml:space="preserve">기능</t>
  </si>
  <si>
    <t xml:space="preserve">올바른 아이디·비밀번호</t>
  </si>
  <si>
    <r>
      <rPr>
        <sz val="10"/>
        <rFont val="Malgun Gothic"/>
        <family val="3"/>
        <charset val="129"/>
      </rPr>
      <t xml:space="preserve">1. /login </t>
    </r>
    <r>
      <rPr>
        <sz val="10"/>
        <rFont val="Noto Sans CJK SC"/>
        <family val="2"/>
      </rPr>
      <t xml:space="preserve">접속
</t>
    </r>
    <r>
      <rPr>
        <sz val="10"/>
        <rFont val="Malgun Gothic"/>
        <family val="3"/>
        <charset val="129"/>
      </rPr>
      <t xml:space="preserve">2. </t>
    </r>
    <r>
      <rPr>
        <sz val="10"/>
        <rFont val="Noto Sans CJK SC"/>
        <family val="2"/>
      </rPr>
      <t xml:space="preserve">아이디</t>
    </r>
    <r>
      <rPr>
        <sz val="10"/>
        <rFont val="Malgun Gothic"/>
        <family val="3"/>
        <charset val="129"/>
      </rPr>
      <t xml:space="preserve">·</t>
    </r>
    <r>
      <rPr>
        <sz val="10"/>
        <rFont val="Noto Sans CJK SC"/>
        <family val="2"/>
      </rPr>
      <t xml:space="preserve">비밀번호 입력 후 </t>
    </r>
    <r>
      <rPr>
        <sz val="10"/>
        <rFont val="Malgun Gothic"/>
        <family val="3"/>
        <charset val="129"/>
      </rPr>
      <t xml:space="preserve">submit</t>
    </r>
  </si>
  <si>
    <r>
      <rPr>
        <sz val="10"/>
        <rFont val="Malgun Gothic"/>
        <family val="3"/>
        <charset val="129"/>
      </rPr>
      <t xml:space="preserve">URL</t>
    </r>
    <r>
      <rPr>
        <sz val="10"/>
        <rFont val="Noto Sans CJK SC"/>
        <family val="2"/>
      </rPr>
      <t xml:space="preserve">이 </t>
    </r>
    <r>
      <rPr>
        <sz val="10"/>
        <rFont val="Malgun Gothic"/>
        <family val="3"/>
        <charset val="129"/>
      </rPr>
      <t xml:space="preserve">/passes</t>
    </r>
    <r>
      <rPr>
        <sz val="10"/>
        <rFont val="Noto Sans CJK SC"/>
        <family val="2"/>
      </rPr>
      <t xml:space="preserve">로 변경</t>
    </r>
    <r>
      <rPr>
        <sz val="10"/>
        <rFont val="Malgun Gothic"/>
        <family val="3"/>
        <charset val="129"/>
      </rPr>
      <t xml:space="preserve">, </t>
    </r>
    <r>
      <rPr>
        <sz val="10"/>
        <rFont val="Noto Sans CJK SC"/>
        <family val="2"/>
      </rPr>
      <t xml:space="preserve">세션 쿠키 존재</t>
    </r>
  </si>
  <si>
    <r>
      <rPr>
        <sz val="10"/>
        <rFont val="Malgun Gothic"/>
        <family val="3"/>
        <charset val="129"/>
      </rPr>
      <t xml:space="preserve">/passes</t>
    </r>
    <r>
      <rPr>
        <sz val="10"/>
        <rFont val="Noto Sans CJK SC"/>
        <family val="2"/>
      </rPr>
      <t xml:space="preserve">로 이동 확인</t>
    </r>
  </si>
  <si>
    <t xml:space="preserve">Selenium (try_login_1.py)</t>
  </si>
  <si>
    <t xml:space="preserve">TestCase.xlsx</t>
  </si>
  <si>
    <t xml:space="preserve">세션 쿠키 존재 여부는 미검증</t>
  </si>
  <si>
    <t xml:space="preserve">결정 테이블 (ID 있음 · 비밀번호 일치)</t>
  </si>
  <si>
    <t xml:space="preserve">L-02</t>
  </si>
  <si>
    <t xml:space="preserve">존재하지 않는 ID</t>
  </si>
  <si>
    <t xml:space="preserve">네거티브</t>
  </si>
  <si>
    <t xml:space="preserve">아이디 wrong5798</t>
  </si>
  <si>
    <r>
      <rPr>
        <sz val="10"/>
        <rFont val="Malgun Gothic"/>
        <family val="3"/>
        <charset val="129"/>
      </rPr>
      <t xml:space="preserve">1. /login </t>
    </r>
    <r>
      <rPr>
        <sz val="10"/>
        <rFont val="Noto Sans CJK SC"/>
        <family val="2"/>
      </rPr>
      <t xml:space="preserve">접속
</t>
    </r>
    <r>
      <rPr>
        <sz val="10"/>
        <rFont val="Malgun Gothic"/>
        <family val="3"/>
        <charset val="129"/>
      </rPr>
      <t xml:space="preserve">2. </t>
    </r>
    <r>
      <rPr>
        <sz val="10"/>
        <rFont val="Noto Sans CJK SC"/>
        <family val="2"/>
      </rPr>
      <t xml:space="preserve">없는 아이디 입력 후 </t>
    </r>
    <r>
      <rPr>
        <sz val="10"/>
        <rFont val="Malgun Gothic"/>
        <family val="3"/>
        <charset val="129"/>
      </rPr>
      <t xml:space="preserve">submit</t>
    </r>
  </si>
  <si>
    <r>
      <rPr>
        <sz val="10"/>
        <rFont val="Malgun Gothic"/>
        <family val="3"/>
        <charset val="129"/>
      </rPr>
      <t xml:space="preserve">alert "</t>
    </r>
    <r>
      <rPr>
        <sz val="10"/>
        <rFont val="Noto Sans CJK SC"/>
        <family val="2"/>
      </rPr>
      <t xml:space="preserve">존재하지 않는 </t>
    </r>
    <r>
      <rPr>
        <sz val="10"/>
        <rFont val="Malgun Gothic"/>
        <family val="3"/>
        <charset val="129"/>
      </rPr>
      <t xml:space="preserve">ID</t>
    </r>
    <r>
      <rPr>
        <sz val="10"/>
        <rFont val="Noto Sans CJK SC"/>
        <family val="2"/>
      </rPr>
      <t xml:space="preserve">입니다</t>
    </r>
    <r>
      <rPr>
        <sz val="10"/>
        <rFont val="Malgun Gothic"/>
        <family val="3"/>
        <charset val="129"/>
      </rPr>
      <t xml:space="preserve">.", /login </t>
    </r>
    <r>
      <rPr>
        <sz val="10"/>
        <rFont val="Noto Sans CJK SC"/>
        <family val="2"/>
      </rPr>
      <t xml:space="preserve">유지</t>
    </r>
  </si>
  <si>
    <t xml:space="preserve">기대 문구와 일치</t>
  </si>
  <si>
    <t xml:space="preserve">Selenium (test_unknown_id_alert)</t>
  </si>
  <si>
    <t xml:space="preserve">보고서 5.3</t>
  </si>
  <si>
    <t xml:space="preserve">결정 테이블 (ID 없음)</t>
  </si>
  <si>
    <t xml:space="preserve">L-03</t>
  </si>
  <si>
    <t xml:space="preserve">틀린 비밀번호</t>
  </si>
  <si>
    <t xml:space="preserve">비밀번호 wrong1234!</t>
  </si>
  <si>
    <r>
      <rPr>
        <sz val="10"/>
        <rFont val="Malgun Gothic"/>
        <family val="3"/>
        <charset val="129"/>
      </rPr>
      <t xml:space="preserve">1. /login </t>
    </r>
    <r>
      <rPr>
        <sz val="10"/>
        <rFont val="Noto Sans CJK SC"/>
        <family val="2"/>
      </rPr>
      <t xml:space="preserve">접속
</t>
    </r>
    <r>
      <rPr>
        <sz val="10"/>
        <rFont val="Malgun Gothic"/>
        <family val="3"/>
        <charset val="129"/>
      </rPr>
      <t xml:space="preserve">2. </t>
    </r>
    <r>
      <rPr>
        <sz val="10"/>
        <rFont val="Noto Sans CJK SC"/>
        <family val="2"/>
      </rPr>
      <t xml:space="preserve">올바른 아이디</t>
    </r>
    <r>
      <rPr>
        <sz val="10"/>
        <rFont val="Malgun Gothic"/>
        <family val="3"/>
        <charset val="129"/>
      </rPr>
      <t xml:space="preserve">, </t>
    </r>
    <r>
      <rPr>
        <sz val="10"/>
        <rFont val="Noto Sans CJK SC"/>
        <family val="2"/>
      </rPr>
      <t xml:space="preserve">틀린 비밀번호 입력 후 </t>
    </r>
    <r>
      <rPr>
        <sz val="10"/>
        <rFont val="Malgun Gothic"/>
        <family val="3"/>
        <charset val="129"/>
      </rPr>
      <t xml:space="preserve">submit</t>
    </r>
  </si>
  <si>
    <r>
      <rPr>
        <sz val="10"/>
        <rFont val="Malgun Gothic"/>
        <family val="3"/>
        <charset val="129"/>
      </rPr>
      <t xml:space="preserve">alert "</t>
    </r>
    <r>
      <rPr>
        <sz val="10"/>
        <rFont val="Noto Sans CJK SC"/>
        <family val="2"/>
      </rPr>
      <t xml:space="preserve">비밀번호가 일치하지 않습니다</t>
    </r>
    <r>
      <rPr>
        <sz val="10"/>
        <rFont val="Malgun Gothic"/>
        <family val="3"/>
        <charset val="129"/>
      </rPr>
      <t xml:space="preserve">."</t>
    </r>
  </si>
  <si>
    <t xml:space="preserve">Selenium (test_wrong_password_alert)</t>
  </si>
  <si>
    <t xml:space="preserve">결정 테이블 (ID 있음 · 비밀번호 불일치)</t>
  </si>
  <si>
    <t xml:space="preserve">L-04</t>
  </si>
  <si>
    <t xml:space="preserve">아이디·비밀번호 모두 빈 값</t>
  </si>
  <si>
    <t xml:space="preserve">빈 값 / 빈 값</t>
  </si>
  <si>
    <r>
      <rPr>
        <sz val="10"/>
        <rFont val="Malgun Gothic"/>
        <family val="3"/>
        <charset val="129"/>
      </rPr>
      <t xml:space="preserve">1. /login </t>
    </r>
    <r>
      <rPr>
        <sz val="10"/>
        <rFont val="Noto Sans CJK SC"/>
        <family val="2"/>
      </rPr>
      <t xml:space="preserve">접속
</t>
    </r>
    <r>
      <rPr>
        <sz val="10"/>
        <rFont val="Malgun Gothic"/>
        <family val="3"/>
        <charset val="129"/>
      </rPr>
      <t xml:space="preserve">2. </t>
    </r>
    <r>
      <rPr>
        <sz val="10"/>
        <rFont val="Noto Sans CJK SC"/>
        <family val="2"/>
      </rPr>
      <t xml:space="preserve">입력 후 제출</t>
    </r>
  </si>
  <si>
    <r>
      <rPr>
        <sz val="10"/>
        <rFont val="Malgun Gothic"/>
        <family val="3"/>
        <charset val="129"/>
      </rPr>
      <t xml:space="preserve">"</t>
    </r>
    <r>
      <rPr>
        <sz val="10"/>
        <rFont val="Noto Sans CJK SC"/>
        <family val="2"/>
      </rPr>
      <t xml:space="preserve">존재하지 않는 </t>
    </r>
    <r>
      <rPr>
        <sz val="10"/>
        <rFont val="Malgun Gothic"/>
        <family val="3"/>
        <charset val="129"/>
      </rPr>
      <t xml:space="preserve">ID</t>
    </r>
    <r>
      <rPr>
        <sz val="10"/>
        <rFont val="Noto Sans CJK SC"/>
        <family val="2"/>
      </rPr>
      <t xml:space="preserve">입니다</t>
    </r>
    <r>
      <rPr>
        <sz val="10"/>
        <rFont val="Malgun Gothic"/>
        <family val="3"/>
        <charset val="129"/>
      </rPr>
      <t xml:space="preserve">."</t>
    </r>
    <r>
      <rPr>
        <sz val="10"/>
        <rFont val="Noto Sans CJK SC"/>
        <family val="2"/>
      </rPr>
      <t xml:space="preserve">로 예상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실행해서 확인</t>
    </r>
    <r>
      <rPr>
        <sz val="10"/>
        <rFont val="Malgun Gothic"/>
        <family val="3"/>
        <charset val="129"/>
      </rPr>
      <t xml:space="preserve">)</t>
    </r>
  </si>
  <si>
    <t xml:space="preserve">"존재하지 않는 ID입니다"</t>
  </si>
  <si>
    <t xml:space="preserve">Selenium (test_login_ui.py)</t>
  </si>
  <si>
    <t xml:space="preserve">결정 테이블 (ID 없음) + 경계값 분석 (빈 값)</t>
  </si>
  <si>
    <t xml:space="preserve">L-05</t>
  </si>
  <si>
    <t xml:space="preserve">아이디만 입력, 비밀번호 빈 값</t>
  </si>
  <si>
    <t xml:space="preserve">올바른 아이디 / 빈 값</t>
  </si>
  <si>
    <r>
      <rPr>
        <sz val="10"/>
        <rFont val="Malgun Gothic"/>
        <family val="3"/>
        <charset val="129"/>
      </rPr>
      <t xml:space="preserve">"</t>
    </r>
    <r>
      <rPr>
        <sz val="10"/>
        <rFont val="Noto Sans CJK SC"/>
        <family val="2"/>
      </rPr>
      <t xml:space="preserve">비밀번호가 일치하지 않습니다</t>
    </r>
    <r>
      <rPr>
        <sz val="10"/>
        <rFont val="Malgun Gothic"/>
        <family val="3"/>
        <charset val="129"/>
      </rPr>
      <t xml:space="preserve">."</t>
    </r>
    <r>
      <rPr>
        <sz val="10"/>
        <rFont val="Noto Sans CJK SC"/>
        <family val="2"/>
      </rPr>
      <t xml:space="preserve">로 예상</t>
    </r>
  </si>
  <si>
    <t xml:space="preserve">"비밀번호가 일치하지 않습니다"</t>
  </si>
  <si>
    <t xml:space="preserve">결정 테이블 (비밀번호 불일치) + 경계값 분석 (빈 값)</t>
  </si>
  <si>
    <t xml:space="preserve">L-06</t>
  </si>
  <si>
    <t xml:space="preserve">비밀번호 입력 후 Enter로 제출</t>
  </si>
  <si>
    <t xml:space="preserve">Enter 제출로 /passes로 이동</t>
  </si>
  <si>
    <t xml:space="preserve">동등 분할 (제출 방식: 버튼 / Enter)</t>
  </si>
  <si>
    <t xml:space="preserve">L-07</t>
  </si>
  <si>
    <t xml:space="preserve">로그아웃 후 /login으로 복귀</t>
  </si>
  <si>
    <t xml:space="preserve">로그인 상태에서 /login/logout</t>
  </si>
  <si>
    <r>
      <rPr>
        <sz val="10"/>
        <rFont val="Malgun Gothic"/>
        <family val="3"/>
        <charset val="129"/>
      </rPr>
      <t xml:space="preserve">URL</t>
    </r>
    <r>
      <rPr>
        <sz val="10"/>
        <rFont val="Noto Sans CJK SC"/>
        <family val="2"/>
      </rPr>
      <t xml:space="preserve">이 </t>
    </r>
    <r>
      <rPr>
        <sz val="10"/>
        <rFont val="Malgun Gothic"/>
        <family val="3"/>
        <charset val="129"/>
      </rPr>
      <t xml:space="preserve">/login, </t>
    </r>
    <r>
      <rPr>
        <sz val="10"/>
        <rFont val="Noto Sans CJK SC"/>
        <family val="2"/>
      </rPr>
      <t xml:space="preserve">세션 만료</t>
    </r>
  </si>
  <si>
    <t xml:space="preserve">로그아웃 후 /login로 이동, /passes 재접속 시 로그인 상태 아님 확인</t>
  </si>
  <si>
    <t xml:space="preserve">상태 전이 테스팅 (로그인 → 로그아웃 → 비로그인)</t>
  </si>
  <si>
    <t xml:space="preserve">L-08</t>
  </si>
  <si>
    <t xml:space="preserve">아이디에 SQL 구문 입력</t>
  </si>
  <si>
    <t xml:space="preserve">' OR '1'='1</t>
  </si>
  <si>
    <t xml:space="preserve">로그인 실패 (JPA 파라미터 바인딩으로 우회 안 됨)</t>
  </si>
  <si>
    <t xml:space="preserve">' OR '1'='1 입력 시 "존재하지 않는 ID입니다." 알림, 우회 불가 확인</t>
  </si>
  <si>
    <t xml:space="preserve">오류 추정 (SQL 인젝션 패턴)</t>
  </si>
  <si>
    <t xml:space="preserve">L-09</t>
  </si>
  <si>
    <t xml:space="preserve">대소문자만 다른 ID로 로그인</t>
  </si>
  <si>
    <t xml:space="preserve">탐색적</t>
  </si>
  <si>
    <t xml:space="preserve">가입 ID의 대소문자 변경</t>
  </si>
  <si>
    <t xml:space="preserve">대소문자 구분없이 로그인 성공</t>
  </si>
  <si>
    <t xml:space="preserve">대문자 아이디(T88600560)로 로그인 성공, /passes 이동</t>
  </si>
  <si>
    <t xml:space="preserve">아이디 대소문자 미구분. DB 콜레이션 utf8mb4_0900_ai_ci 확인. 별도 정책이 없어 현재 동작을 정책으로 보고 고정</t>
  </si>
  <si>
    <t xml:space="preserve">탐색적 테스팅 (대소문자 변형) → 정책 결정</t>
  </si>
  <si>
    <t xml:space="preserve">L-10</t>
  </si>
  <si>
    <t xml:space="preserve">로그인 전후 세션 변경</t>
  </si>
  <si>
    <r>
      <rPr>
        <sz val="10"/>
        <rFont val="Malgun Gothic"/>
        <family val="3"/>
        <charset val="129"/>
      </rPr>
      <t xml:space="preserve">1. </t>
    </r>
    <r>
      <rPr>
        <sz val="10"/>
        <rFont val="Noto Sans CJK SC"/>
        <family val="2"/>
      </rPr>
      <t xml:space="preserve">로그인 전 </t>
    </r>
    <r>
      <rPr>
        <sz val="10"/>
        <rFont val="Malgun Gothic"/>
        <family val="3"/>
        <charset val="129"/>
      </rPr>
      <t xml:space="preserve">JSESSIONID </t>
    </r>
    <r>
      <rPr>
        <sz val="10"/>
        <rFont val="Noto Sans CJK SC"/>
        <family val="2"/>
      </rPr>
      <t xml:space="preserve">확인
</t>
    </r>
    <r>
      <rPr>
        <sz val="10"/>
        <rFont val="Malgun Gothic"/>
        <family val="3"/>
        <charset val="129"/>
      </rPr>
      <t xml:space="preserve">2. </t>
    </r>
    <r>
      <rPr>
        <sz val="10"/>
        <rFont val="Noto Sans CJK SC"/>
        <family val="2"/>
      </rPr>
      <t xml:space="preserve">로그인
</t>
    </r>
    <r>
      <rPr>
        <sz val="10"/>
        <rFont val="Malgun Gothic"/>
        <family val="3"/>
        <charset val="129"/>
      </rPr>
      <t xml:space="preserve">3. JSESSIONID </t>
    </r>
    <r>
      <rPr>
        <sz val="10"/>
        <rFont val="Noto Sans CJK SC"/>
        <family val="2"/>
      </rPr>
      <t xml:space="preserve">다시 확인</t>
    </r>
  </si>
  <si>
    <t xml:space="preserve">로그인 후 새 세션 ID 발급</t>
  </si>
  <si>
    <t xml:space="preserve">값이 바뀜</t>
  </si>
  <si>
    <t xml:space="preserve">수동 (개발자 도구)</t>
  </si>
  <si>
    <t xml:space="preserve">보고서 4.4</t>
  </si>
  <si>
    <t xml:space="preserve">오류 추정 (세션 고정)</t>
  </si>
  <si>
    <t xml:space="preserve">L-11</t>
  </si>
  <si>
    <t xml:space="preserve">첫 로그인 시 기본 그룹 부여</t>
  </si>
  <si>
    <t xml:space="preserve">그룹 매핑이 없는 계정</t>
  </si>
  <si>
    <r>
      <rPr>
        <sz val="10"/>
        <rFont val="Malgun Gothic"/>
        <family val="3"/>
        <charset val="129"/>
      </rPr>
      <t xml:space="preserve">1. </t>
    </r>
    <r>
      <rPr>
        <sz val="10"/>
        <rFont val="Noto Sans CJK SC"/>
        <family val="2"/>
      </rPr>
      <t xml:space="preserve">로그인 전 </t>
    </r>
    <r>
      <rPr>
        <sz val="10"/>
        <rFont val="Malgun Gothic"/>
        <family val="3"/>
        <charset val="129"/>
      </rPr>
      <t xml:space="preserve">user_group_mapping </t>
    </r>
    <r>
      <rPr>
        <sz val="10"/>
        <rFont val="Noto Sans CJK SC"/>
        <family val="2"/>
      </rPr>
      <t xml:space="preserve">행 수 조회
</t>
    </r>
    <r>
      <rPr>
        <sz val="10"/>
        <rFont val="Malgun Gothic"/>
        <family val="3"/>
        <charset val="129"/>
      </rPr>
      <t xml:space="preserve">2. </t>
    </r>
    <r>
      <rPr>
        <sz val="10"/>
        <rFont val="Noto Sans CJK SC"/>
        <family val="2"/>
      </rPr>
      <t xml:space="preserve">로그인
</t>
    </r>
    <r>
      <rPr>
        <sz val="10"/>
        <rFont val="Malgun Gothic"/>
        <family val="3"/>
        <charset val="129"/>
      </rPr>
      <t xml:space="preserve">3. </t>
    </r>
    <r>
      <rPr>
        <sz val="10"/>
        <rFont val="Noto Sans CJK SC"/>
        <family val="2"/>
      </rPr>
      <t xml:space="preserve">다시 조회</t>
    </r>
  </si>
  <si>
    <r>
      <rPr>
        <sz val="10"/>
        <rFont val="Malgun Gothic"/>
        <family val="3"/>
        <charset val="129"/>
      </rPr>
      <t xml:space="preserve">0</t>
    </r>
    <r>
      <rPr>
        <sz val="10"/>
        <rFont val="Noto Sans CJK SC"/>
        <family val="2"/>
      </rPr>
      <t xml:space="preserve">행 → </t>
    </r>
    <r>
      <rPr>
        <sz val="10"/>
        <rFont val="Malgun Gothic"/>
        <family val="3"/>
        <charset val="129"/>
      </rPr>
      <t xml:space="preserve">1</t>
    </r>
    <r>
      <rPr>
        <sz val="10"/>
        <rFont val="Noto Sans CJK SC"/>
        <family val="2"/>
      </rPr>
      <t xml:space="preserve">행</t>
    </r>
  </si>
  <si>
    <t xml:space="preserve">수동 + SQL</t>
  </si>
  <si>
    <t xml:space="preserve">상태 전이 테스팅 (첫 로그인 → 재로그인)</t>
  </si>
  <si>
    <t xml:space="preserve">L-12</t>
  </si>
  <si>
    <t xml:space="preserve">재로그인 시 그룹 매핑 중복</t>
  </si>
  <si>
    <r>
      <rPr>
        <sz val="10"/>
        <rFont val="Malgun Gothic"/>
        <family val="3"/>
        <charset val="129"/>
      </rPr>
      <t xml:space="preserve">L-11 </t>
    </r>
    <r>
      <rPr>
        <sz val="10"/>
        <rFont val="Noto Sans CJK SC"/>
        <family val="2"/>
      </rPr>
      <t xml:space="preserve">수행 후</t>
    </r>
  </si>
  <si>
    <r>
      <rPr>
        <sz val="10"/>
        <rFont val="Malgun Gothic"/>
        <family val="3"/>
        <charset val="129"/>
      </rPr>
      <t xml:space="preserve">1. </t>
    </r>
    <r>
      <rPr>
        <sz val="10"/>
        <rFont val="Noto Sans CJK SC"/>
        <family val="2"/>
      </rPr>
      <t xml:space="preserve">로그아웃 후 다시 로그인
</t>
    </r>
    <r>
      <rPr>
        <sz val="10"/>
        <rFont val="Malgun Gothic"/>
        <family val="3"/>
        <charset val="129"/>
      </rPr>
      <t xml:space="preserve">2. user_group_mapping </t>
    </r>
    <r>
      <rPr>
        <sz val="10"/>
        <rFont val="Noto Sans CJK SC"/>
        <family val="2"/>
      </rPr>
      <t xml:space="preserve">행 수 조회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</si>
  <si>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Noto Sans CJK SC"/>
        <family val="2"/>
      </rPr>
      <t xml:space="preserve">행 유지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중복 저장 없음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</si>
  <si>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Noto Sans CJK SC"/>
        <family val="2"/>
      </rPr>
      <t xml:space="preserve">행 유지</t>
    </r>
  </si>
  <si>
    <t xml:space="preserve">LA-01</t>
  </si>
  <si>
    <r>
      <rPr>
        <sz val="10"/>
        <rFont val="Malgun Gothic"/>
        <family val="3"/>
        <charset val="129"/>
      </rPr>
      <t xml:space="preserve">{"userId": </t>
    </r>
    <r>
      <rPr>
        <sz val="10"/>
        <rFont val="Noto Sans CJK SC"/>
        <family val="2"/>
      </rPr>
      <t xml:space="preserve">정상</t>
    </r>
    <r>
      <rPr>
        <sz val="10"/>
        <rFont val="Malgun Gothic"/>
        <family val="3"/>
        <charset val="129"/>
      </rPr>
      <t xml:space="preserve">, "password": </t>
    </r>
    <r>
      <rPr>
        <sz val="10"/>
        <rFont val="Noto Sans CJK SC"/>
        <family val="2"/>
      </rPr>
      <t xml:space="preserve">정상</t>
    </r>
    <r>
      <rPr>
        <sz val="10"/>
        <rFont val="Malgun Gothic"/>
        <family val="3"/>
        <charset val="129"/>
      </rPr>
      <t xml:space="preserve">}</t>
    </r>
  </si>
  <si>
    <t xml:space="preserve">POST /login/action (JSON)</t>
  </si>
  <si>
    <r>
      <rPr>
        <sz val="10"/>
        <rFont val="Malgun Gothic"/>
        <family val="3"/>
        <charset val="129"/>
      </rPr>
      <t xml:space="preserve">200, </t>
    </r>
    <r>
      <rPr>
        <sz val="10"/>
        <rFont val="Noto Sans CJK SC"/>
        <family val="2"/>
      </rPr>
      <t xml:space="preserve">본문 </t>
    </r>
    <r>
      <rPr>
        <sz val="10"/>
        <rFont val="Malgun Gothic"/>
        <family val="3"/>
        <charset val="129"/>
      </rPr>
      <t xml:space="preserve">{}</t>
    </r>
  </si>
  <si>
    <t xml:space="preserve">200, {}</t>
  </si>
  <si>
    <t xml:space="preserve">pytest + requests (test_api_1.py)</t>
  </si>
  <si>
    <t xml:space="preserve">보고서 5.4</t>
  </si>
  <si>
    <t xml:space="preserve">결정 테이블 (API 수준)</t>
  </si>
  <si>
    <t xml:space="preserve">LA-02</t>
  </si>
  <si>
    <t xml:space="preserve">응답 본문 비밀번호 노출</t>
  </si>
  <si>
    <t xml:space="preserve">보안·회귀</t>
  </si>
  <si>
    <t xml:space="preserve">정상 계정</t>
  </si>
  <si>
    <r>
      <rPr>
        <sz val="10"/>
        <rFont val="Malgun Gothic"/>
        <family val="3"/>
        <charset val="129"/>
      </rPr>
      <t xml:space="preserve">POST /login/action </t>
    </r>
    <r>
      <rPr>
        <sz val="10"/>
        <rFont val="Noto Sans CJK SC"/>
        <family val="2"/>
      </rPr>
      <t xml:space="preserve">후 응답 본문에 비밀번호 원문이 있는지 확인</t>
    </r>
  </si>
  <si>
    <t xml:space="preserve">응답 본문에 비밀번호 원문 없음</t>
  </si>
  <si>
    <t xml:space="preserve">본문 {}, 원문 없음</t>
  </si>
  <si>
    <t xml:space="preserve">보고서 4.1, 5.4</t>
  </si>
  <si>
    <t xml:space="preserve">수정 전에는 {"password":..., "userId":...} 반환</t>
  </si>
  <si>
    <t xml:space="preserve">탐색적 테스팅 (발견) → 확인·리그레션 테스트 (DEF-001)</t>
  </si>
  <si>
    <t xml:space="preserve">LA-03</t>
  </si>
  <si>
    <t xml:space="preserve">정상 아이디, 틀린 비밀번호</t>
  </si>
  <si>
    <t xml:space="preserve">POST /login/action</t>
  </si>
  <si>
    <r>
      <rPr>
        <sz val="10"/>
        <rFont val="Malgun Gothic"/>
        <family val="3"/>
        <charset val="129"/>
      </rPr>
      <t xml:space="preserve">400, {"msg":"</t>
    </r>
    <r>
      <rPr>
        <sz val="10"/>
        <rFont val="Noto Sans CJK SC"/>
        <family val="2"/>
      </rPr>
      <t xml:space="preserve">비밀번호가 일치하지 않습니다</t>
    </r>
    <r>
      <rPr>
        <sz val="10"/>
        <rFont val="Malgun Gothic"/>
        <family val="3"/>
        <charset val="129"/>
      </rPr>
      <t xml:space="preserve">."}</t>
    </r>
  </si>
  <si>
    <t xml:space="preserve">기대값과 일치</t>
  </si>
  <si>
    <t xml:space="preserve">LA-04</t>
  </si>
  <si>
    <t xml:space="preserve">없는 아이디</t>
  </si>
  <si>
    <r>
      <rPr>
        <sz val="10"/>
        <rFont val="Malgun Gothic"/>
        <family val="3"/>
        <charset val="129"/>
      </rPr>
      <t xml:space="preserve">400, {"msg":"</t>
    </r>
    <r>
      <rPr>
        <sz val="10"/>
        <rFont val="Noto Sans CJK SC"/>
        <family val="2"/>
      </rPr>
      <t xml:space="preserve">존재하지 않는 </t>
    </r>
    <r>
      <rPr>
        <sz val="10"/>
        <rFont val="Malgun Gothic"/>
        <family val="3"/>
        <charset val="129"/>
      </rPr>
      <t xml:space="preserve">ID</t>
    </r>
    <r>
      <rPr>
        <sz val="10"/>
        <rFont val="Noto Sans CJK SC"/>
        <family val="2"/>
      </rPr>
      <t xml:space="preserve">입니다</t>
    </r>
    <r>
      <rPr>
        <sz val="10"/>
        <rFont val="Malgun Gothic"/>
        <family val="3"/>
        <charset val="129"/>
      </rPr>
      <t xml:space="preserve">."}</t>
    </r>
  </si>
  <si>
    <t xml:space="preserve">400(Bad Request), "존재하지 않는 ID입니다."</t>
  </si>
  <si>
    <t xml:space="preserve">화면(L-02)에서는 확인됨</t>
  </si>
  <si>
    <t xml:space="preserve">SC-01</t>
  </si>
  <si>
    <t xml:space="preserve">비밀번호 저장 형식</t>
  </si>
  <si>
    <t xml:space="preserve">테스트 계정</t>
  </si>
  <si>
    <t xml:space="preserve">SELECT password FROM user WHERE user_id = ?</t>
  </si>
  <si>
    <r>
      <rPr>
        <sz val="10"/>
        <rFont val="Malgun Gothic"/>
        <family val="3"/>
        <charset val="129"/>
      </rPr>
      <t xml:space="preserve">BCrypt </t>
    </r>
    <r>
      <rPr>
        <sz val="10"/>
        <rFont val="Noto Sans CJK SC"/>
        <family val="2"/>
      </rPr>
      <t xml:space="preserve">해시 </t>
    </r>
    <r>
      <rPr>
        <sz val="10"/>
        <rFont val="Malgun Gothic"/>
        <family val="3"/>
        <charset val="129"/>
      </rPr>
      <t xml:space="preserve">($2a$10$</t>
    </r>
    <r>
      <rPr>
        <sz val="10"/>
        <rFont val="Noto Sans CJK SC"/>
        <family val="2"/>
      </rPr>
      <t xml:space="preserve">로 시작</t>
    </r>
    <r>
      <rPr>
        <sz val="10"/>
        <rFont val="Malgun Gothic"/>
        <family val="3"/>
        <charset val="129"/>
      </rPr>
      <t xml:space="preserve">, </t>
    </r>
    <r>
      <rPr>
        <sz val="10"/>
        <rFont val="Noto Sans CJK SC"/>
        <family val="2"/>
      </rPr>
      <t xml:space="preserve">길이 </t>
    </r>
    <r>
      <rPr>
        <sz val="10"/>
        <rFont val="Malgun Gothic"/>
        <family val="3"/>
        <charset val="129"/>
      </rPr>
      <t xml:space="preserve">60)</t>
    </r>
  </si>
  <si>
    <r>
      <rPr>
        <sz val="10"/>
        <rFont val="Malgun Gothic"/>
        <family val="3"/>
        <charset val="129"/>
      </rPr>
      <t xml:space="preserve">$2a$10$, </t>
    </r>
    <r>
      <rPr>
        <sz val="10"/>
        <rFont val="Noto Sans CJK SC"/>
        <family val="2"/>
      </rPr>
      <t xml:space="preserve">길이 </t>
    </r>
    <r>
      <rPr>
        <sz val="10"/>
        <rFont val="Malgun Gothic"/>
        <family val="3"/>
        <charset val="129"/>
      </rPr>
      <t xml:space="preserve">60</t>
    </r>
  </si>
  <si>
    <t xml:space="preserve">pytest + PyMySQL (test_login_practice.py)</t>
  </si>
  <si>
    <t xml:space="preserve">보고서 4.4, 5.3</t>
  </si>
  <si>
    <t xml:space="preserve">체크리스트 기반 (비밀번호 저장 방식)</t>
  </si>
  <si>
    <t xml:space="preserve">SC-02</t>
  </si>
  <si>
    <t xml:space="preserve">로그인 Console 로그</t>
  </si>
  <si>
    <r>
      <rPr>
        <sz val="10"/>
        <rFont val="Malgun Gothic"/>
        <family val="3"/>
        <charset val="129"/>
      </rPr>
      <t xml:space="preserve">1. </t>
    </r>
    <r>
      <rPr>
        <sz val="10"/>
        <rFont val="Noto Sans CJK SC"/>
        <family val="2"/>
      </rPr>
      <t xml:space="preserve">개발자 도구 </t>
    </r>
    <r>
      <rPr>
        <sz val="10"/>
        <rFont val="Malgun Gothic"/>
        <family val="3"/>
        <charset val="129"/>
      </rPr>
      <t xml:space="preserve">Console</t>
    </r>
    <r>
      <rPr>
        <sz val="10"/>
        <rFont val="Noto Sans CJK SC"/>
        <family val="2"/>
      </rPr>
      <t xml:space="preserve">을 연 상태로 로그인
</t>
    </r>
    <r>
      <rPr>
        <sz val="10"/>
        <rFont val="Malgun Gothic"/>
        <family val="3"/>
        <charset val="129"/>
      </rPr>
      <t xml:space="preserve">2. </t>
    </r>
    <r>
      <rPr>
        <sz val="10"/>
        <rFont val="Noto Sans CJK SC"/>
        <family val="2"/>
      </rPr>
      <t xml:space="preserve">출력 내용 확인</t>
    </r>
  </si>
  <si>
    <t xml:space="preserve">응답 데이터나 비밀번호가 Console에 출력되지 않음</t>
  </si>
  <si>
    <r>
      <rPr>
        <sz val="10"/>
        <rFont val="Malgun Gothic"/>
        <family val="3"/>
        <charset val="129"/>
      </rPr>
      <t xml:space="preserve">console.log </t>
    </r>
    <r>
      <rPr>
        <sz val="10"/>
        <rFont val="Noto Sans CJK SC"/>
        <family val="2"/>
      </rPr>
      <t xml:space="preserve">제거 후 출력 없음</t>
    </r>
  </si>
  <si>
    <t xml:space="preserve">보고서 4.1</t>
  </si>
  <si>
    <t xml:space="preserve">탐색적 테스팅 (발견) → 확인 테스트 (DEF-001)</t>
  </si>
  <si>
    <t xml:space="preserve">JN-01</t>
  </si>
  <si>
    <t xml:space="preserve">화면 가입 후 DB 저장</t>
  </si>
  <si>
    <t xml:space="preserve">새 아이디(uuid), 규칙을 충족한 비밀번호</t>
  </si>
  <si>
    <r>
      <rPr>
        <sz val="10"/>
        <rFont val="Malgun Gothic"/>
        <family val="3"/>
        <charset val="129"/>
      </rPr>
      <t xml:space="preserve">1. /join</t>
    </r>
    <r>
      <rPr>
        <sz val="10"/>
        <rFont val="Noto Sans CJK SC"/>
        <family val="2"/>
      </rPr>
      <t xml:space="preserve">에서 모든 칸 입력 후 회원가입 클릭
</t>
    </r>
    <r>
      <rPr>
        <sz val="10"/>
        <rFont val="Malgun Gothic"/>
        <family val="3"/>
        <charset val="129"/>
      </rPr>
      <t xml:space="preserve">2. /login </t>
    </r>
    <r>
      <rPr>
        <sz val="10"/>
        <rFont val="Noto Sans CJK SC"/>
        <family val="2"/>
      </rPr>
      <t xml:space="preserve">이동 대기
</t>
    </r>
    <r>
      <rPr>
        <sz val="10"/>
        <rFont val="Malgun Gothic"/>
        <family val="3"/>
        <charset val="129"/>
      </rPr>
      <t xml:space="preserve">3. user </t>
    </r>
    <r>
      <rPr>
        <sz val="10"/>
        <rFont val="Noto Sans CJK SC"/>
        <family val="2"/>
      </rPr>
      <t xml:space="preserve">테이블 조회
</t>
    </r>
    <r>
      <rPr>
        <sz val="10"/>
        <rFont val="Malgun Gothic"/>
        <family val="3"/>
        <charset val="129"/>
      </rPr>
      <t xml:space="preserve">4. </t>
    </r>
    <r>
      <rPr>
        <sz val="10"/>
        <rFont val="Noto Sans CJK SC"/>
        <family val="2"/>
      </rPr>
      <t xml:space="preserve">테스트 계정 삭제</t>
    </r>
  </si>
  <si>
    <r>
      <rPr>
        <sz val="10"/>
        <rFont val="Malgun Gothic"/>
        <family val="3"/>
        <charset val="129"/>
      </rPr>
      <t xml:space="preserve">/login </t>
    </r>
    <r>
      <rPr>
        <sz val="10"/>
        <rFont val="Noto Sans CJK SC"/>
        <family val="2"/>
      </rPr>
      <t xml:space="preserve">이동</t>
    </r>
    <r>
      <rPr>
        <sz val="10"/>
        <rFont val="Malgun Gothic"/>
        <family val="3"/>
        <charset val="129"/>
      </rPr>
      <t xml:space="preserve">, user 1</t>
    </r>
    <r>
      <rPr>
        <sz val="10"/>
        <rFont val="Noto Sans CJK SC"/>
        <family val="2"/>
      </rPr>
      <t xml:space="preserve">행</t>
    </r>
    <r>
      <rPr>
        <sz val="10"/>
        <rFont val="Malgun Gothic"/>
        <family val="3"/>
        <charset val="129"/>
      </rPr>
      <t xml:space="preserve">, </t>
    </r>
    <r>
      <rPr>
        <sz val="10"/>
        <rFont val="Noto Sans CJK SC"/>
        <family val="2"/>
      </rPr>
      <t xml:space="preserve">비밀번호가 </t>
    </r>
    <r>
      <rPr>
        <sz val="10"/>
        <rFont val="Malgun Gothic"/>
        <family val="3"/>
        <charset val="129"/>
      </rPr>
      <t xml:space="preserve">BCrypt </t>
    </r>
    <r>
      <rPr>
        <sz val="10"/>
        <rFont val="Noto Sans CJK SC"/>
        <family val="2"/>
      </rPr>
      <t xml:space="preserve">해시이며 원문과 다름</t>
    </r>
  </si>
  <si>
    <t xml:space="preserve">Selenium + PyMySQL (test_join_stores_hashed_password)</t>
  </si>
  <si>
    <t xml:space="preserve">가입 성공 시 alert 없이 바로 이동</t>
  </si>
  <si>
    <t xml:space="preserve">동등 분할 (유효 입력)</t>
  </si>
  <si>
    <t xml:space="preserve">JN-02</t>
  </si>
  <si>
    <t xml:space="preserve">폼 형식 정상 가입</t>
  </si>
  <si>
    <t xml:space="preserve">정상 입력값</t>
  </si>
  <si>
    <r>
      <rPr>
        <sz val="10"/>
        <rFont val="Malgun Gothic"/>
        <family val="3"/>
        <charset val="129"/>
      </rPr>
      <t xml:space="preserve">1. POST /join/action (application/x-www-form-urlencoded)
2. user </t>
    </r>
    <r>
      <rPr>
        <sz val="10"/>
        <rFont val="Noto Sans CJK SC"/>
        <family val="2"/>
      </rPr>
      <t xml:space="preserve">테이블 행 수 확인</t>
    </r>
  </si>
  <si>
    <r>
      <rPr>
        <sz val="10"/>
        <rFont val="Malgun Gothic"/>
        <family val="3"/>
        <charset val="129"/>
      </rPr>
      <t xml:space="preserve">200, user 1</t>
    </r>
    <r>
      <rPr>
        <sz val="10"/>
        <rFont val="Noto Sans CJK SC"/>
        <family val="2"/>
      </rPr>
      <t xml:space="preserve">행 저장</t>
    </r>
  </si>
  <si>
    <t xml:space="preserve">200(OK), user 1행</t>
  </si>
  <si>
    <t xml:space="preserve">pytest + requests + PyMySQL (test_join_api.py)</t>
  </si>
  <si>
    <t xml:space="preserve">보고서 5.5</t>
  </si>
  <si>
    <t xml:space="preserve">화면과 같은 폼 형식으로 요청</t>
  </si>
  <si>
    <t xml:space="preserve">JN-03</t>
  </si>
  <si>
    <r>
      <rPr>
        <sz val="10"/>
        <rFont val="Malgun Gothic"/>
        <family val="3"/>
        <charset val="129"/>
      </rPr>
      <t xml:space="preserve">JSON </t>
    </r>
    <r>
      <rPr>
        <sz val="10"/>
        <rFont val="Noto Sans CJK SC"/>
        <family val="2"/>
      </rPr>
      <t xml:space="preserve">형식 요청</t>
    </r>
  </si>
  <si>
    <t xml:space="preserve">정상 입력값을 JSON 본문으로 전송</t>
  </si>
  <si>
    <r>
      <rPr>
        <sz val="10"/>
        <rFont val="Malgun Gothic"/>
        <family val="3"/>
        <charset val="129"/>
      </rPr>
      <t xml:space="preserve">1. POST /join/action (application/json)
2. </t>
    </r>
    <r>
      <rPr>
        <sz val="10"/>
        <rFont val="Noto Sans CJK SC"/>
        <family val="2"/>
      </rPr>
      <t xml:space="preserve">응답과 </t>
    </r>
    <r>
      <rPr>
        <sz val="10"/>
        <rFont val="Malgun Gothic"/>
        <family val="3"/>
        <charset val="129"/>
      </rPr>
      <t xml:space="preserve">user </t>
    </r>
    <r>
      <rPr>
        <sz val="10"/>
        <rFont val="Noto Sans CJK SC"/>
        <family val="2"/>
      </rPr>
      <t xml:space="preserve">행 수 확인</t>
    </r>
  </si>
  <si>
    <t xml:space="preserve">저장되지 않으면 오류 응답(4xx/5xx)으로 실패를 알림</t>
  </si>
  <si>
    <r>
      <rPr>
        <sz val="10"/>
        <rFont val="Malgun Gothic"/>
        <family val="3"/>
        <charset val="129"/>
      </rPr>
      <t xml:space="preserve">200 {} </t>
    </r>
    <r>
      <rPr>
        <sz val="10"/>
        <rFont val="Noto Sans CJK SC"/>
        <family val="2"/>
      </rPr>
      <t xml:space="preserve">응답</t>
    </r>
    <r>
      <rPr>
        <sz val="10"/>
        <rFont val="Malgun Gothic"/>
        <family val="3"/>
        <charset val="129"/>
      </rPr>
      <t xml:space="preserve">, user 0</t>
    </r>
    <r>
      <rPr>
        <sz val="10"/>
        <rFont val="Noto Sans CJK SC"/>
        <family val="2"/>
      </rPr>
      <t xml:space="preserve">행</t>
    </r>
    <r>
      <rPr>
        <sz val="10"/>
        <rFont val="Malgun Gothic"/>
        <family val="3"/>
        <charset val="129"/>
      </rPr>
      <t xml:space="preserve">. </t>
    </r>
    <r>
      <rPr>
        <sz val="10"/>
        <rFont val="Noto Sans CJK SC"/>
        <family val="2"/>
      </rPr>
      <t xml:space="preserve">필드 </t>
    </r>
    <r>
      <rPr>
        <sz val="10"/>
        <rFont val="Malgun Gothic"/>
        <family val="3"/>
        <charset val="129"/>
      </rPr>
      <t xml:space="preserve">null → </t>
    </r>
    <r>
      <rPr>
        <sz val="10"/>
        <rFont val="Noto Sans CJK SC"/>
        <family val="2"/>
      </rPr>
      <t xml:space="preserve">암호화 예외를 </t>
    </r>
    <r>
      <rPr>
        <sz val="10"/>
        <rFont val="Malgun Gothic"/>
        <family val="3"/>
        <charset val="129"/>
      </rPr>
      <t xml:space="preserve">catch</t>
    </r>
    <r>
      <rPr>
        <sz val="10"/>
        <rFont val="Noto Sans CJK SC"/>
        <family val="2"/>
      </rPr>
      <t xml:space="preserve">에서 삼킴</t>
    </r>
  </si>
  <si>
    <r>
      <rPr>
        <sz val="10"/>
        <rFont val="Malgun Gothic"/>
        <family val="3"/>
        <charset val="129"/>
      </rPr>
      <t xml:space="preserve">pytest + requests + PyMySQL (test_api_2.py, xfail strict) + </t>
    </r>
    <r>
      <rPr>
        <sz val="10"/>
        <rFont val="Noto Sans CJK SC"/>
        <family val="2"/>
      </rPr>
      <t xml:space="preserve">코드 분석</t>
    </r>
  </si>
  <si>
    <t xml:space="preserve">오류 추정 (지원하지 않는 요청 형식) + 코드 기반 분석</t>
  </si>
  <si>
    <t xml:space="preserve">JN-04</t>
  </si>
  <si>
    <t xml:space="preserve">이름 공란</t>
  </si>
  <si>
    <r>
      <rPr>
        <sz val="10"/>
        <rFont val="Malgun Gothic"/>
        <family val="3"/>
        <charset val="129"/>
      </rPr>
      <t xml:space="preserve">userName = </t>
    </r>
    <r>
      <rPr>
        <sz val="10"/>
        <rFont val="Noto Sans CJK SC"/>
        <family val="2"/>
      </rPr>
      <t xml:space="preserve">빈 값</t>
    </r>
  </si>
  <si>
    <r>
      <rPr>
        <sz val="10"/>
        <rFont val="Malgun Gothic"/>
        <family val="3"/>
        <charset val="129"/>
      </rPr>
      <t xml:space="preserve">1. POST /join/action (</t>
    </r>
    <r>
      <rPr>
        <sz val="10"/>
        <rFont val="Noto Sans CJK SC"/>
        <family val="2"/>
      </rPr>
      <t xml:space="preserve">폼 형식</t>
    </r>
    <r>
      <rPr>
        <sz val="10"/>
        <rFont val="Malgun Gothic"/>
        <family val="3"/>
        <charset val="129"/>
      </rPr>
      <t xml:space="preserve">)
2. </t>
    </r>
    <r>
      <rPr>
        <sz val="10"/>
        <rFont val="Noto Sans CJK SC"/>
        <family val="2"/>
      </rPr>
      <t xml:space="preserve">응답과 </t>
    </r>
    <r>
      <rPr>
        <sz val="10"/>
        <rFont val="Malgun Gothic"/>
        <family val="3"/>
        <charset val="129"/>
      </rPr>
      <t xml:space="preserve">user </t>
    </r>
    <r>
      <rPr>
        <sz val="10"/>
        <rFont val="Noto Sans CJK SC"/>
        <family val="2"/>
      </rPr>
      <t xml:space="preserve">행 수 확인
</t>
    </r>
    <r>
      <rPr>
        <sz val="10"/>
        <rFont val="Malgun Gothic"/>
        <family val="3"/>
        <charset val="129"/>
      </rPr>
      <t xml:space="preserve">3. </t>
    </r>
    <r>
      <rPr>
        <sz val="10"/>
        <rFont val="Noto Sans CJK SC"/>
        <family val="2"/>
      </rPr>
      <t xml:space="preserve">테스트 계정 삭제</t>
    </r>
  </si>
  <si>
    <r>
      <rPr>
        <sz val="10"/>
        <rFont val="Malgun Gothic"/>
        <family val="3"/>
        <charset val="129"/>
      </rPr>
      <t xml:space="preserve">400, msg "</t>
    </r>
    <r>
      <rPr>
        <sz val="10"/>
        <rFont val="Noto Sans CJK SC"/>
        <family val="2"/>
      </rPr>
      <t xml:space="preserve">입력이 안된 사항이 있습니다</t>
    </r>
    <r>
      <rPr>
        <sz val="10"/>
        <rFont val="Malgun Gothic"/>
        <family val="3"/>
        <charset val="129"/>
      </rPr>
      <t xml:space="preserve">.", </t>
    </r>
    <r>
      <rPr>
        <sz val="10"/>
        <rFont val="Noto Sans CJK SC"/>
        <family val="2"/>
      </rPr>
      <t xml:space="preserve">저장 안 됨</t>
    </r>
  </si>
  <si>
    <t xml:space="preserve">400(Bad Request), "입력이 안된 사항이 있습니다.", 저장 안 됨</t>
  </si>
  <si>
    <t xml:space="preserve">보고서 6.1</t>
  </si>
  <si>
    <r>
      <rPr>
        <sz val="10"/>
        <rFont val="Malgun Gothic"/>
        <family val="3"/>
        <charset val="129"/>
      </rPr>
      <t xml:space="preserve">DEF-002 </t>
    </r>
    <r>
      <rPr>
        <sz val="10"/>
        <rFont val="Noto Sans CJK SC"/>
        <family val="2"/>
      </rPr>
      <t xml:space="preserve">기각</t>
    </r>
    <r>
      <rPr>
        <sz val="10"/>
        <rFont val="Malgun Gothic"/>
        <family val="3"/>
        <charset val="129"/>
      </rPr>
      <t xml:space="preserve">: == "" </t>
    </r>
    <r>
      <rPr>
        <sz val="10"/>
        <rFont val="Noto Sans CJK SC"/>
        <family val="2"/>
      </rPr>
      <t xml:space="preserve">비교 의심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코드 분석</t>
    </r>
    <r>
      <rPr>
        <sz val="10"/>
        <rFont val="Malgun Gothic"/>
        <family val="3"/>
        <charset val="129"/>
      </rPr>
      <t xml:space="preserve">)</t>
    </r>
    <r>
      <rPr>
        <sz val="10"/>
        <rFont val="Noto Sans CJK SC"/>
        <family val="2"/>
      </rPr>
      <t xml:space="preserve">과 달리 빈 값 거부 확인</t>
    </r>
  </si>
  <si>
    <r>
      <rPr>
        <sz val="10"/>
        <rFont val="Noto Sans CJK SC"/>
        <family val="2"/>
      </rPr>
      <t xml:space="preserve">코드 기반 분석 </t>
    </r>
    <r>
      <rPr>
        <sz val="10"/>
        <rFont val="Malgun Gothic"/>
        <family val="3"/>
        <charset val="129"/>
      </rPr>
      <t xml:space="preserve">(== "" </t>
    </r>
    <r>
      <rPr>
        <sz val="10"/>
        <rFont val="Noto Sans CJK SC"/>
        <family val="2"/>
      </rPr>
      <t xml:space="preserve">분기 의심</t>
    </r>
    <r>
      <rPr>
        <sz val="10"/>
        <rFont val="Malgun Gothic"/>
        <family val="3"/>
        <charset val="129"/>
      </rPr>
      <t xml:space="preserve">) + </t>
    </r>
    <r>
      <rPr>
        <sz val="10"/>
        <rFont val="Noto Sans CJK SC"/>
        <family val="2"/>
      </rPr>
      <t xml:space="preserve">동등 분할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무효</t>
    </r>
    <r>
      <rPr>
        <sz val="10"/>
        <rFont val="Malgun Gothic"/>
        <family val="3"/>
        <charset val="129"/>
      </rPr>
      <t xml:space="preserve">: </t>
    </r>
    <r>
      <rPr>
        <sz val="10"/>
        <rFont val="Noto Sans CJK SC"/>
        <family val="2"/>
      </rPr>
      <t xml:space="preserve">빈 값</t>
    </r>
    <r>
      <rPr>
        <sz val="10"/>
        <rFont val="Malgun Gothic"/>
        <family val="3"/>
        <charset val="129"/>
      </rPr>
      <t xml:space="preserve">)</t>
    </r>
  </si>
  <si>
    <t xml:space="preserve">JN-05</t>
  </si>
  <si>
    <t xml:space="preserve">이메일 공란</t>
  </si>
  <si>
    <r>
      <rPr>
        <sz val="10"/>
        <rFont val="Malgun Gothic"/>
        <family val="3"/>
        <charset val="129"/>
      </rPr>
      <t xml:space="preserve">eMail = </t>
    </r>
    <r>
      <rPr>
        <sz val="10"/>
        <rFont val="Noto Sans CJK SC"/>
        <family val="2"/>
      </rPr>
      <t xml:space="preserve">빈 값</t>
    </r>
  </si>
  <si>
    <t xml:space="preserve">JN-06</t>
  </si>
  <si>
    <t xml:space="preserve">중복 아이디</t>
  </si>
  <si>
    <t xml:space="preserve">이미 가입된 아이디</t>
  </si>
  <si>
    <r>
      <rPr>
        <sz val="10"/>
        <rFont val="Malgun Gothic"/>
        <family val="3"/>
        <charset val="129"/>
      </rPr>
      <t xml:space="preserve">400, msg "</t>
    </r>
    <r>
      <rPr>
        <sz val="10"/>
        <rFont val="Noto Sans CJK SC"/>
        <family val="2"/>
      </rPr>
      <t xml:space="preserve">이미 존재하는 </t>
    </r>
    <r>
      <rPr>
        <sz val="10"/>
        <rFont val="Malgun Gothic"/>
        <family val="3"/>
        <charset val="129"/>
      </rPr>
      <t xml:space="preserve">ID</t>
    </r>
    <r>
      <rPr>
        <sz val="10"/>
        <rFont val="Noto Sans CJK SC"/>
        <family val="2"/>
      </rPr>
      <t xml:space="preserve">입니다</t>
    </r>
    <r>
      <rPr>
        <sz val="10"/>
        <rFont val="Malgun Gothic"/>
        <family val="3"/>
        <charset val="129"/>
      </rPr>
      <t xml:space="preserve">.", </t>
    </r>
    <r>
      <rPr>
        <sz val="10"/>
        <rFont val="Noto Sans CJK SC"/>
        <family val="2"/>
      </rPr>
      <t xml:space="preserve">행 수 변화 없음</t>
    </r>
  </si>
  <si>
    <t xml:space="preserve">400(Bad Request), "이미 존재하는 ID입니다.", 행 1개 유지</t>
  </si>
  <si>
    <t xml:space="preserve">코드 (UserDto, LoginService)</t>
  </si>
  <si>
    <t xml:space="preserve">동등 분할 (무효: 중복 아이디)</t>
  </si>
  <si>
    <t xml:space="preserve">JN-07</t>
  </si>
  <si>
    <t xml:space="preserve">아이디 4자 (하한 미만)</t>
  </si>
  <si>
    <r>
      <rPr>
        <sz val="10"/>
        <rFont val="Malgun Gothic"/>
        <family val="3"/>
        <charset val="129"/>
      </rPr>
      <t xml:space="preserve">userId 4</t>
    </r>
    <r>
      <rPr>
        <sz val="10"/>
        <rFont val="Noto Sans CJK SC"/>
        <family val="2"/>
      </rPr>
      <t xml:space="preserve">자</t>
    </r>
  </si>
  <si>
    <r>
      <rPr>
        <sz val="10"/>
        <rFont val="Malgun Gothic"/>
        <family val="3"/>
        <charset val="129"/>
      </rPr>
      <t xml:space="preserve">400, id_error "</t>
    </r>
    <r>
      <rPr>
        <sz val="10"/>
        <rFont val="Noto Sans CJK SC"/>
        <family val="2"/>
      </rPr>
      <t xml:space="preserve">아이디는 </t>
    </r>
    <r>
      <rPr>
        <sz val="10"/>
        <rFont val="Malgun Gothic"/>
        <family val="3"/>
        <charset val="129"/>
      </rPr>
      <t xml:space="preserve">5~20 </t>
    </r>
    <r>
      <rPr>
        <sz val="10"/>
        <rFont val="Noto Sans CJK SC"/>
        <family val="2"/>
      </rPr>
      <t xml:space="preserve">자리로 입력해주세요</t>
    </r>
    <r>
      <rPr>
        <sz val="10"/>
        <rFont val="Malgun Gothic"/>
        <family val="3"/>
        <charset val="129"/>
      </rPr>
      <t xml:space="preserve">."</t>
    </r>
  </si>
  <si>
    <t xml:space="preserve">400(Bad Request), ID 4자 거부(id_error)</t>
  </si>
  <si>
    <t xml:space="preserve">경계값 분석 (아이디 4·5·20·21자)</t>
  </si>
  <si>
    <t xml:space="preserve">JN-08</t>
  </si>
  <si>
    <t xml:space="preserve">아이디 5자 (하한)</t>
  </si>
  <si>
    <r>
      <rPr>
        <sz val="10"/>
        <rFont val="Malgun Gothic"/>
        <family val="3"/>
        <charset val="129"/>
      </rPr>
      <t xml:space="preserve">userId 5</t>
    </r>
    <r>
      <rPr>
        <sz val="10"/>
        <rFont val="Noto Sans CJK SC"/>
        <family val="2"/>
      </rPr>
      <t xml:space="preserve">자</t>
    </r>
  </si>
  <si>
    <r>
      <rPr>
        <sz val="10"/>
        <rFont val="Malgun Gothic"/>
        <family val="3"/>
        <charset val="129"/>
      </rPr>
      <t xml:space="preserve">200, </t>
    </r>
    <r>
      <rPr>
        <sz val="10"/>
        <rFont val="Noto Sans CJK SC"/>
        <family val="2"/>
      </rPr>
      <t xml:space="preserve">저장됨</t>
    </r>
  </si>
  <si>
    <t xml:space="preserve">200(OK), ID 5자 가입 승인</t>
  </si>
  <si>
    <t xml:space="preserve">JN-09</t>
  </si>
  <si>
    <t xml:space="preserve">아이디 20자 (상한)</t>
  </si>
  <si>
    <r>
      <rPr>
        <sz val="10"/>
        <rFont val="Malgun Gothic"/>
        <family val="3"/>
        <charset val="129"/>
      </rPr>
      <t xml:space="preserve">userId 20</t>
    </r>
    <r>
      <rPr>
        <sz val="10"/>
        <rFont val="Noto Sans CJK SC"/>
        <family val="2"/>
      </rPr>
      <t xml:space="preserve">자</t>
    </r>
  </si>
  <si>
    <t xml:space="preserve">200(OK), ID 20자 가입 승인</t>
  </si>
  <si>
    <t xml:space="preserve">JN-10</t>
  </si>
  <si>
    <t xml:space="preserve">아이디 21자 (상한 초과)</t>
  </si>
  <si>
    <r>
      <rPr>
        <sz val="10"/>
        <rFont val="Malgun Gothic"/>
        <family val="3"/>
        <charset val="129"/>
      </rPr>
      <t xml:space="preserve">userId 21</t>
    </r>
    <r>
      <rPr>
        <sz val="10"/>
        <rFont val="Noto Sans CJK SC"/>
        <family val="2"/>
      </rPr>
      <t xml:space="preserve">자 </t>
    </r>
    <r>
      <rPr>
        <sz val="10"/>
        <rFont val="Malgun Gothic"/>
        <family val="3"/>
        <charset val="129"/>
      </rPr>
      <t xml:space="preserve">(API</t>
    </r>
    <r>
      <rPr>
        <sz val="10"/>
        <rFont val="Noto Sans CJK SC"/>
        <family val="2"/>
      </rPr>
      <t xml:space="preserve">로 전송</t>
    </r>
    <r>
      <rPr>
        <sz val="10"/>
        <rFont val="Malgun Gothic"/>
        <family val="3"/>
        <charset val="129"/>
      </rPr>
      <t xml:space="preserve">, </t>
    </r>
    <r>
      <rPr>
        <sz val="10"/>
        <rFont val="Noto Sans CJK SC"/>
        <family val="2"/>
      </rPr>
      <t xml:space="preserve">화면은 </t>
    </r>
    <r>
      <rPr>
        <sz val="10"/>
        <rFont val="Malgun Gothic"/>
        <family val="3"/>
        <charset val="129"/>
      </rPr>
      <t xml:space="preserve">maxlength 20)</t>
    </r>
  </si>
  <si>
    <t xml:space="preserve">400(Bad Request), ID 21자 거부(id_error)</t>
  </si>
  <si>
    <t xml:space="preserve">JN-11</t>
  </si>
  <si>
    <t xml:space="preserve">비밀번호 7자 (하한 미만)</t>
  </si>
  <si>
    <t xml:space="preserve">영문·숫자·특수문자 포함 7자</t>
  </si>
  <si>
    <r>
      <rPr>
        <sz val="10"/>
        <rFont val="Malgun Gothic"/>
        <family val="3"/>
        <charset val="129"/>
      </rPr>
      <t xml:space="preserve">400, pw_error "</t>
    </r>
    <r>
      <rPr>
        <sz val="10"/>
        <rFont val="Noto Sans CJK SC"/>
        <family val="2"/>
      </rPr>
      <t xml:space="preserve">비밀번호는 영문과 특수문자</t>
    </r>
    <r>
      <rPr>
        <sz val="10"/>
        <rFont val="Malgun Gothic"/>
        <family val="3"/>
        <charset val="129"/>
      </rPr>
      <t xml:space="preserve">, </t>
    </r>
    <r>
      <rPr>
        <sz val="10"/>
        <rFont val="Noto Sans CJK SC"/>
        <family val="2"/>
      </rPr>
      <t xml:space="preserve">숫자를 포함하며 </t>
    </r>
    <r>
      <rPr>
        <sz val="10"/>
        <rFont val="Malgun Gothic"/>
        <family val="3"/>
        <charset val="129"/>
      </rPr>
      <t xml:space="preserve">8</t>
    </r>
    <r>
      <rPr>
        <sz val="10"/>
        <rFont val="Noto Sans CJK SC"/>
        <family val="2"/>
      </rPr>
      <t xml:space="preserve">자 이상이어야 합니다</t>
    </r>
    <r>
      <rPr>
        <sz val="10"/>
        <rFont val="Malgun Gothic"/>
        <family val="3"/>
        <charset val="129"/>
      </rPr>
      <t xml:space="preserve">."</t>
    </r>
  </si>
  <si>
    <t xml:space="preserve">400(Bad Request), Password 7자 거부(pw_error)</t>
  </si>
  <si>
    <t xml:space="preserve">경계값 분석 (비밀번호 7·8자)</t>
  </si>
  <si>
    <t xml:space="preserve">JN-12</t>
  </si>
  <si>
    <t xml:space="preserve">비밀번호 8자 (하한)</t>
  </si>
  <si>
    <t xml:space="preserve">영문·숫자·특수문자 포함 8자</t>
  </si>
  <si>
    <t xml:space="preserve">200(OK), Password 8자 가입 성공 </t>
  </si>
  <si>
    <t xml:space="preserve">JN-13</t>
  </si>
  <si>
    <t xml:space="preserve">비밀번호 특수문자 누락</t>
  </si>
  <si>
    <t xml:space="preserve">영문·숫자만 10자</t>
  </si>
  <si>
    <r>
      <rPr>
        <sz val="10"/>
        <rFont val="Malgun Gothic"/>
        <family val="3"/>
        <charset val="129"/>
      </rPr>
      <t xml:space="preserve">400, pw_error (JN-11</t>
    </r>
    <r>
      <rPr>
        <sz val="10"/>
        <rFont val="Noto Sans CJK SC"/>
        <family val="2"/>
      </rPr>
      <t xml:space="preserve">과 같은 문구</t>
    </r>
    <r>
      <rPr>
        <sz val="10"/>
        <rFont val="Malgun Gothic"/>
        <family val="3"/>
        <charset val="129"/>
      </rPr>
      <t xml:space="preserve">)</t>
    </r>
  </si>
  <si>
    <t xml:space="preserve">400(Bad Request), Password 특수문자 누락 거부(pw_error)</t>
  </si>
  <si>
    <t xml:space="preserve">동등 분할 (무효: 특수문자 누락)</t>
  </si>
  <si>
    <t xml:space="preserve">JN-14</t>
  </si>
  <si>
    <r>
      <rPr>
        <sz val="10"/>
        <rFont val="Malgun Gothic"/>
        <family val="3"/>
        <charset val="129"/>
      </rPr>
      <t xml:space="preserve">72</t>
    </r>
    <r>
      <rPr>
        <sz val="10"/>
        <rFont val="Noto Sans CJK SC"/>
        <family val="2"/>
      </rPr>
      <t xml:space="preserve">바이트 초과 비밀번호</t>
    </r>
  </si>
  <si>
    <t xml:space="preserve">보안·경계값</t>
  </si>
  <si>
    <t xml:space="preserve">가입: 80자 비밀번호 / 로그인: 앞 72자 동일, 뒤 8자 변경</t>
  </si>
  <si>
    <r>
      <rPr>
        <sz val="10"/>
        <rFont val="Malgun Gothic"/>
        <family val="3"/>
        <charset val="129"/>
      </rPr>
      <t xml:space="preserve">1. 73</t>
    </r>
    <r>
      <rPr>
        <sz val="10"/>
        <rFont val="Noto Sans CJK SC"/>
        <family val="2"/>
      </rPr>
      <t xml:space="preserve">바이트 이상 비밀번호로 가입
</t>
    </r>
    <r>
      <rPr>
        <sz val="10"/>
        <rFont val="Malgun Gothic"/>
        <family val="3"/>
        <charset val="129"/>
      </rPr>
      <t xml:space="preserve">2. </t>
    </r>
    <r>
      <rPr>
        <sz val="10"/>
        <rFont val="Noto Sans CJK SC"/>
        <family val="2"/>
      </rPr>
      <t xml:space="preserve">앞 </t>
    </r>
    <r>
      <rPr>
        <sz val="10"/>
        <rFont val="Malgun Gothic"/>
        <family val="3"/>
        <charset val="129"/>
      </rPr>
      <t xml:space="preserve">72</t>
    </r>
    <r>
      <rPr>
        <sz val="10"/>
        <rFont val="Noto Sans CJK SC"/>
        <family val="2"/>
      </rPr>
      <t xml:space="preserve">바이트는 같고 뒷부분만 다른 비밀번호로 로그인</t>
    </r>
  </si>
  <si>
    <t xml:space="preserve">로그인 실패 (또는 가입 단계에서 길이 제한)</t>
  </si>
  <si>
    <t xml:space="preserve">앞 72자가 같고 뒤가 다른 비밀번호로 로그인 성공</t>
  </si>
  <si>
    <r>
      <rPr>
        <sz val="10"/>
        <rFont val="Malgun Gothic"/>
        <family val="3"/>
        <charset val="129"/>
      </rPr>
      <t xml:space="preserve">BCrypt</t>
    </r>
    <r>
      <rPr>
        <sz val="10"/>
        <rFont val="Noto Sans CJK SC"/>
        <family val="2"/>
      </rPr>
      <t xml:space="preserve">는 </t>
    </r>
    <r>
      <rPr>
        <sz val="10"/>
        <rFont val="Malgun Gothic"/>
        <family val="3"/>
        <charset val="129"/>
      </rPr>
      <t xml:space="preserve">72</t>
    </r>
    <r>
      <rPr>
        <sz val="10"/>
        <rFont val="Noto Sans CJK SC"/>
        <family val="2"/>
      </rPr>
      <t xml:space="preserve">바이트 이후를 무시</t>
    </r>
    <r>
      <rPr>
        <sz val="10"/>
        <rFont val="Malgun Gothic"/>
        <family val="3"/>
        <charset val="129"/>
      </rPr>
      <t xml:space="preserve">. </t>
    </r>
    <r>
      <rPr>
        <sz val="10"/>
        <rFont val="Noto Sans CJK SC"/>
        <family val="2"/>
      </rPr>
      <t xml:space="preserve">대조군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앞부분 변경</t>
    </r>
    <r>
      <rPr>
        <sz val="10"/>
        <rFont val="Malgun Gothic"/>
        <family val="3"/>
        <charset val="129"/>
      </rPr>
      <t xml:space="preserve">)</t>
    </r>
    <r>
      <rPr>
        <sz val="10"/>
        <rFont val="Noto Sans CJK SC"/>
        <family val="2"/>
      </rPr>
      <t xml:space="preserve">은 </t>
    </r>
    <r>
      <rPr>
        <sz val="10"/>
        <rFont val="Malgun Gothic"/>
        <family val="3"/>
        <charset val="129"/>
      </rPr>
      <t xml:space="preserve">400</t>
    </r>
    <r>
      <rPr>
        <sz val="10"/>
        <rFont val="Noto Sans CJK SC"/>
        <family val="2"/>
      </rPr>
      <t xml:space="preserve">으로 거부</t>
    </r>
    <r>
      <rPr>
        <sz val="10"/>
        <rFont val="Malgun Gothic"/>
        <family val="3"/>
        <charset val="129"/>
      </rPr>
      <t xml:space="preserve">. </t>
    </r>
    <r>
      <rPr>
        <sz val="10"/>
        <rFont val="Noto Sans CJK SC"/>
        <family val="2"/>
      </rPr>
      <t xml:space="preserve">수정 방향</t>
    </r>
    <r>
      <rPr>
        <sz val="10"/>
        <rFont val="Malgun Gothic"/>
        <family val="3"/>
        <charset val="129"/>
      </rPr>
      <t xml:space="preserve">: </t>
    </r>
    <r>
      <rPr>
        <sz val="10"/>
        <rFont val="Noto Sans CJK SC"/>
        <family val="2"/>
      </rPr>
      <t xml:space="preserve">비밀번호 길이 상한 설정</t>
    </r>
  </si>
  <si>
    <r>
      <rPr>
        <sz val="10"/>
        <rFont val="Noto Sans CJK SC"/>
        <family val="2"/>
      </rPr>
      <t xml:space="preserve">오류 추정 </t>
    </r>
    <r>
      <rPr>
        <sz val="10"/>
        <rFont val="Malgun Gothic"/>
        <family val="3"/>
        <charset val="129"/>
      </rPr>
      <t xml:space="preserve">(BCrypt 72</t>
    </r>
    <r>
      <rPr>
        <sz val="10"/>
        <rFont val="Noto Sans CJK SC"/>
        <family val="2"/>
      </rPr>
      <t xml:space="preserve">바이트 한계</t>
    </r>
    <r>
      <rPr>
        <sz val="10"/>
        <rFont val="Malgun Gothic"/>
        <family val="3"/>
        <charset val="129"/>
      </rPr>
      <t xml:space="preserve">) + </t>
    </r>
    <r>
      <rPr>
        <sz val="10"/>
        <rFont val="Noto Sans CJK SC"/>
        <family val="2"/>
      </rPr>
      <t xml:space="preserve">대조군</t>
    </r>
  </si>
  <si>
    <t xml:space="preserve">JN-15</t>
  </si>
  <si>
    <t xml:space="preserve">대소문자만 다른 ID로 중복 가입</t>
  </si>
  <si>
    <t xml:space="preserve">가입된 아이디를 대문자로 바꾼 값</t>
  </si>
  <si>
    <r>
      <rPr>
        <sz val="10"/>
        <rFont val="Malgun Gothic"/>
        <family val="3"/>
        <charset val="129"/>
      </rPr>
      <t xml:space="preserve">1. </t>
    </r>
    <r>
      <rPr>
        <sz val="10"/>
        <rFont val="Noto Sans CJK SC"/>
        <family val="2"/>
      </rPr>
      <t xml:space="preserve">소문자 아이디로 가입
</t>
    </r>
    <r>
      <rPr>
        <sz val="10"/>
        <rFont val="Malgun Gothic"/>
        <family val="3"/>
        <charset val="129"/>
      </rPr>
      <t xml:space="preserve">2. </t>
    </r>
    <r>
      <rPr>
        <sz val="10"/>
        <rFont val="Noto Sans CJK SC"/>
        <family val="2"/>
      </rPr>
      <t xml:space="preserve">같은 아이디를 대문자로 바꿔 다시 가입
</t>
    </r>
    <r>
      <rPr>
        <sz val="10"/>
        <rFont val="Malgun Gothic"/>
        <family val="3"/>
        <charset val="129"/>
      </rPr>
      <t xml:space="preserve">3. </t>
    </r>
    <r>
      <rPr>
        <sz val="10"/>
        <rFont val="Noto Sans CJK SC"/>
        <family val="2"/>
      </rPr>
      <t xml:space="preserve">응답 확인</t>
    </r>
  </si>
  <si>
    <t xml:space="preserve">400, "이미 존재하는 ID입니다"</t>
  </si>
  <si>
    <t xml:space="preserve">대문자 아이디로 가입 시 400, "이미 존재하는 ID입니다."</t>
  </si>
  <si>
    <t xml:space="preserve">L-09결과, DB 기본 설정</t>
  </si>
  <si>
    <r>
      <rPr>
        <sz val="10"/>
        <rFont val="Malgun Gothic"/>
        <family val="3"/>
        <charset val="129"/>
      </rPr>
      <t xml:space="preserve">L-09</t>
    </r>
    <r>
      <rPr>
        <sz val="10"/>
        <rFont val="Noto Sans CJK SC"/>
        <family val="2"/>
      </rPr>
      <t xml:space="preserve">와 같은 정책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대소문자 미구분</t>
    </r>
    <r>
      <rPr>
        <sz val="10"/>
        <rFont val="Malgun Gothic"/>
        <family val="3"/>
        <charset val="129"/>
      </rPr>
      <t xml:space="preserve">)</t>
    </r>
    <r>
      <rPr>
        <sz val="10"/>
        <rFont val="Noto Sans CJK SC"/>
        <family val="2"/>
      </rPr>
      <t xml:space="preserve">으로 로그인</t>
    </r>
    <r>
      <rPr>
        <sz val="10"/>
        <rFont val="Malgun Gothic"/>
        <family val="3"/>
        <charset val="129"/>
      </rPr>
      <t xml:space="preserve">·</t>
    </r>
    <r>
      <rPr>
        <sz val="10"/>
        <rFont val="Noto Sans CJK SC"/>
        <family val="2"/>
      </rPr>
      <t xml:space="preserve">가입이 일관됨</t>
    </r>
  </si>
  <si>
    <r>
      <rPr>
        <sz val="10"/>
        <rFont val="Noto Sans CJK SC"/>
        <family val="2"/>
      </rPr>
      <t xml:space="preserve">동등 분할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대소문자 변형</t>
    </r>
    <r>
      <rPr>
        <sz val="10"/>
        <rFont val="Malgun Gothic"/>
        <family val="3"/>
        <charset val="129"/>
      </rPr>
      <t xml:space="preserve">) - L-09 </t>
    </r>
    <r>
      <rPr>
        <sz val="10"/>
        <rFont val="Noto Sans CJK SC"/>
        <family val="2"/>
      </rPr>
      <t xml:space="preserve">정책 일관성</t>
    </r>
  </si>
  <si>
    <t xml:space="preserve">AD-01</t>
  </si>
  <si>
    <t xml:space="preserve">대시보드 파라미터 없이 접속</t>
  </si>
  <si>
    <t xml:space="preserve">사용성·회귀</t>
  </si>
  <si>
    <t xml:space="preserve">관리자 계정</t>
  </si>
  <si>
    <t xml:space="preserve">쿼리 파라미터 없음</t>
  </si>
  <si>
    <r>
      <rPr>
        <sz val="10"/>
        <rFont val="Malgun Gothic"/>
        <family val="3"/>
        <charset val="129"/>
      </rPr>
      <t xml:space="preserve">/admin </t>
    </r>
    <r>
      <rPr>
        <sz val="10"/>
        <rFont val="Noto Sans CJK SC"/>
        <family val="2"/>
      </rPr>
      <t xml:space="preserve">접속</t>
    </r>
  </si>
  <si>
    <t xml:space="preserve">오늘 기준 통계로 대시보드 표시 (400 없음)</t>
  </si>
  <si>
    <t xml:space="preserve">대시보드 정상 표시</t>
  </si>
  <si>
    <t xml:space="preserve">pytest + requests (test_admin.py)</t>
  </si>
  <si>
    <t xml:space="preserve">보고서 4.2</t>
  </si>
  <si>
    <t xml:space="preserve">수정 전에는 Whitelabel Error Page(400)</t>
  </si>
  <si>
    <t xml:space="preserve">동등 분할 (기준일 생략) + 확인 테스트 (ET2)</t>
  </si>
  <si>
    <t xml:space="preserve">AD-02</t>
  </si>
  <si>
    <t xml:space="preserve">대시보드 날짜 지정 조회</t>
  </si>
  <si>
    <t xml:space="preserve">회귀</t>
  </si>
  <si>
    <t xml:space="preserve">to=2022-09-10</t>
  </si>
  <si>
    <r>
      <rPr>
        <sz val="10"/>
        <rFont val="Malgun Gothic"/>
        <family val="3"/>
        <charset val="129"/>
      </rPr>
      <t xml:space="preserve">/admin?to=2022-09-10 </t>
    </r>
    <r>
      <rPr>
        <sz val="10"/>
        <rFont val="Noto Sans CJK SC"/>
        <family val="2"/>
      </rPr>
      <t xml:space="preserve">접속</t>
    </r>
  </si>
  <si>
    <t xml:space="preserve">지정 날짜 기준 통계 표시 (기존 기능 유지)</t>
  </si>
  <si>
    <t xml:space="preserve">지정 날짜 기준 통계 표시</t>
  </si>
  <si>
    <r>
      <rPr>
        <sz val="10"/>
        <rFont val="Malgun Gothic"/>
        <family val="3"/>
        <charset val="129"/>
      </rPr>
      <t xml:space="preserve">ET2 </t>
    </r>
    <r>
      <rPr>
        <sz val="10"/>
        <rFont val="Noto Sans CJK SC"/>
        <family val="2"/>
      </rPr>
      <t xml:space="preserve">수정 후 날짜 지정 조회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하위 호환</t>
    </r>
    <r>
      <rPr>
        <sz val="10"/>
        <rFont val="Malgun Gothic"/>
        <family val="3"/>
        <charset val="129"/>
      </rPr>
      <t xml:space="preserve">)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</si>
  <si>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동등 분할 </t>
    </r>
    <r>
      <rPr>
        <sz val="10"/>
        <rFont val="Malgun Gothic"/>
        <family val="3"/>
        <charset val="129"/>
      </rPr>
      <t xml:space="preserve">(</t>
    </r>
    <r>
      <rPr>
        <sz val="10"/>
        <rFont val="Noto Sans CJK SC"/>
        <family val="2"/>
      </rPr>
      <t xml:space="preserve">기준일 지정</t>
    </r>
    <r>
      <rPr>
        <sz val="10"/>
        <rFont val="Malgun Gothic"/>
        <family val="3"/>
        <charset val="129"/>
      </rPr>
      <t xml:space="preserve">) + </t>
    </r>
    <r>
      <rPr>
        <sz val="10"/>
        <rFont val="Noto Sans CJK SC"/>
        <family val="2"/>
      </rPr>
      <t xml:space="preserve">리그레션 </t>
    </r>
    <r>
      <rPr>
        <sz val="10"/>
        <rFont val="Malgun Gothic"/>
        <family val="3"/>
        <charset val="129"/>
      </rPr>
      <t xml:space="preserve">(ET2 </t>
    </r>
    <r>
      <rPr>
        <sz val="10"/>
        <rFont val="Noto Sans CJK SC"/>
        <family val="2"/>
      </rPr>
      <t xml:space="preserve">수정 후 기존 기능</t>
    </r>
    <r>
      <rPr>
        <sz val="10"/>
        <rFont val="Malgun Gothic"/>
        <family val="3"/>
        <charset val="129"/>
      </rPr>
      <t xml:space="preserve">)</t>
    </r>
  </si>
  <si>
    <t xml:space="preserve">AD-03</t>
  </si>
  <si>
    <t xml:space="preserve">관리자 로그인 실패 알림</t>
  </si>
  <si>
    <t xml:space="preserve">사용성</t>
  </si>
  <si>
    <t xml:space="preserve">틀린 관리자 비밀번호로 로그인</t>
  </si>
  <si>
    <t xml:space="preserve">실패 알림(alert) 표시</t>
  </si>
  <si>
    <t xml:space="preserve">수정 후 알림 표시</t>
  </si>
  <si>
    <t xml:space="preserve">수동</t>
  </si>
  <si>
    <t xml:space="preserve">보고서 4.3</t>
  </si>
  <si>
    <t xml:space="preserve">탐색적 테스팅 (발견) → 확인 테스트</t>
  </si>
  <si>
    <t xml:space="preserve">AD-04</t>
  </si>
  <si>
    <t xml:space="preserve">패키지 1, A1000000, 2026-12-31 10:00</t>
  </si>
  <si>
    <r>
      <rPr>
        <sz val="10"/>
        <rFont val="Malgun Gothic"/>
        <family val="3"/>
        <charset val="129"/>
      </rPr>
      <t xml:space="preserve">1. /admin/bulk-pass</t>
    </r>
    <r>
      <rPr>
        <sz val="10"/>
        <rFont val="Noto Sans CJK SC"/>
        <family val="2"/>
      </rPr>
      <t xml:space="preserve">에서 패키지</t>
    </r>
    <r>
      <rPr>
        <sz val="10"/>
        <rFont val="Malgun Gothic"/>
        <family val="3"/>
        <charset val="129"/>
      </rPr>
      <t xml:space="preserve">·</t>
    </r>
    <r>
      <rPr>
        <sz val="10"/>
        <rFont val="Noto Sans CJK SC"/>
        <family val="2"/>
      </rPr>
      <t xml:space="preserve">회원 </t>
    </r>
    <r>
      <rPr>
        <sz val="10"/>
        <rFont val="Malgun Gothic"/>
        <family val="3"/>
        <charset val="129"/>
      </rPr>
      <t xml:space="preserve">ID·</t>
    </r>
    <r>
      <rPr>
        <sz val="10"/>
        <rFont val="Noto Sans CJK SC"/>
        <family val="2"/>
      </rPr>
      <t xml:space="preserve">시작 일시 입력
</t>
    </r>
    <r>
      <rPr>
        <sz val="10"/>
        <rFont val="Malgun Gothic"/>
        <family val="3"/>
        <charset val="129"/>
      </rPr>
      <t xml:space="preserve">2. + </t>
    </r>
    <r>
      <rPr>
        <sz val="10"/>
        <rFont val="Noto Sans CJK SC"/>
        <family val="2"/>
      </rPr>
      <t xml:space="preserve">등록 클릭
</t>
    </r>
    <r>
      <rPr>
        <sz val="10"/>
        <rFont val="Malgun Gothic"/>
        <family val="3"/>
        <charset val="129"/>
      </rPr>
      <t xml:space="preserve">3. </t>
    </r>
    <r>
      <rPr>
        <sz val="10"/>
        <rFont val="Noto Sans CJK SC"/>
        <family val="2"/>
      </rPr>
      <t xml:space="preserve">목록 확인</t>
    </r>
  </si>
  <si>
    <r>
      <rPr>
        <sz val="10"/>
        <rFont val="Malgun Gothic"/>
        <family val="3"/>
        <charset val="129"/>
      </rPr>
      <t xml:space="preserve">302 </t>
    </r>
    <r>
      <rPr>
        <sz val="10"/>
        <rFont val="Noto Sans CJK SC"/>
        <family val="2"/>
      </rPr>
      <t xml:space="preserve">후 목록에 </t>
    </r>
    <r>
      <rPr>
        <sz val="10"/>
        <rFont val="Malgun Gothic"/>
        <family val="3"/>
        <charset val="129"/>
      </rPr>
      <t xml:space="preserve">'</t>
    </r>
    <r>
      <rPr>
        <sz val="10"/>
        <rFont val="Noto Sans CJK SC"/>
        <family val="2"/>
      </rPr>
      <t xml:space="preserve">지급 전</t>
    </r>
    <r>
      <rPr>
        <sz val="10"/>
        <rFont val="Malgun Gothic"/>
        <family val="3"/>
        <charset val="129"/>
      </rPr>
      <t xml:space="preserve">' </t>
    </r>
    <r>
      <rPr>
        <sz val="10"/>
        <rFont val="Noto Sans CJK SC"/>
        <family val="2"/>
      </rPr>
      <t xml:space="preserve">상태로 표시</t>
    </r>
    <r>
      <rPr>
        <sz val="10"/>
        <rFont val="Malgun Gothic"/>
        <family val="3"/>
        <charset val="129"/>
      </rPr>
      <t xml:space="preserve">, bulk_pass READY 1</t>
    </r>
    <r>
      <rPr>
        <sz val="10"/>
        <rFont val="Noto Sans CJK SC"/>
        <family val="2"/>
      </rPr>
      <t xml:space="preserve">행</t>
    </r>
  </si>
  <si>
    <r>
      <rPr>
        <sz val="10"/>
        <rFont val="Malgun Gothic"/>
        <family val="3"/>
        <charset val="129"/>
      </rPr>
      <t xml:space="preserve">302, </t>
    </r>
    <r>
      <rPr>
        <sz val="10"/>
        <rFont val="Noto Sans CJK SC"/>
        <family val="2"/>
      </rPr>
      <t xml:space="preserve">목록에 </t>
    </r>
    <r>
      <rPr>
        <sz val="10"/>
        <rFont val="Malgun Gothic"/>
        <family val="3"/>
        <charset val="129"/>
      </rPr>
      <t xml:space="preserve">'</t>
    </r>
    <r>
      <rPr>
        <sz val="10"/>
        <rFont val="Noto Sans CJK SC"/>
        <family val="2"/>
      </rPr>
      <t xml:space="preserve">지급 전</t>
    </r>
    <r>
      <rPr>
        <sz val="10"/>
        <rFont val="Malgun Gothic"/>
        <family val="3"/>
        <charset val="129"/>
      </rPr>
      <t xml:space="preserve">' </t>
    </r>
    <r>
      <rPr>
        <sz val="10"/>
        <rFont val="Noto Sans CJK SC"/>
        <family val="2"/>
      </rPr>
      <t xml:space="preserve">표시</t>
    </r>
  </si>
  <si>
    <t xml:space="preserve">k6 (diag.js) + SQL</t>
  </si>
  <si>
    <t xml:space="preserve">AD-05</t>
  </si>
  <si>
    <t xml:space="preserve">시작 일시 형식 오류</t>
  </si>
  <si>
    <r>
      <rPr>
        <sz val="10"/>
        <rFont val="Malgun Gothic"/>
        <family val="3"/>
        <charset val="129"/>
      </rPr>
      <t xml:space="preserve">2026/12/31 10</t>
    </r>
    <r>
      <rPr>
        <sz val="10"/>
        <rFont val="Noto Sans CJK SC"/>
        <family val="2"/>
      </rPr>
      <t xml:space="preserve">시</t>
    </r>
  </si>
  <si>
    <t xml:space="preserve">시작 일시를 형식에 맞지 않게 입력 후 + 등록</t>
  </si>
  <si>
    <r>
      <rPr>
        <sz val="10"/>
        <rFont val="Malgun Gothic"/>
        <family val="3"/>
        <charset val="129"/>
      </rPr>
      <t xml:space="preserve">alert "</t>
    </r>
    <r>
      <rPr>
        <sz val="10"/>
        <rFont val="Noto Sans CJK SC"/>
        <family val="2"/>
      </rPr>
      <t xml:space="preserve">올바른 날짜 형식을 입력해주세요</t>
    </r>
    <r>
      <rPr>
        <sz val="10"/>
        <rFont val="Malgun Gothic"/>
        <family val="3"/>
        <charset val="129"/>
      </rPr>
      <t xml:space="preserve">. 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3"/>
        <charset val="129"/>
      </rPr>
      <t xml:space="preserve">: 2022-09-01 00:00)", </t>
    </r>
    <r>
      <rPr>
        <sz val="10"/>
        <rFont val="Noto Sans CJK SC"/>
        <family val="2"/>
      </rPr>
      <t xml:space="preserve">제출 중단</t>
    </r>
  </si>
  <si>
    <t xml:space="preserve">"올바른 날짜 형식을 입력해주세요. (예: 2022-09-01 00:00)", 제출 중단</t>
  </si>
  <si>
    <t xml:space="preserve">Selenium + PyMySQL (test_admin.py)</t>
  </si>
  <si>
    <t xml:space="preserve">화면 소스 (validateForm)</t>
  </si>
  <si>
    <t xml:space="preserve">동등 분할 (무효: 날짜 형식)</t>
  </si>
  <si>
    <t xml:space="preserve">AD-06</t>
  </si>
  <si>
    <t xml:space="preserve">통계 그래프와 DB 일치</t>
  </si>
  <si>
    <t xml:space="preserve">관리자 계정, 통계 데이터 존재</t>
  </si>
  <si>
    <t xml:space="preserve">특정 기준일</t>
  </si>
  <si>
    <r>
      <rPr>
        <sz val="10"/>
        <rFont val="Malgun Gothic"/>
        <family val="3"/>
        <charset val="129"/>
      </rPr>
      <t xml:space="preserve">1. </t>
    </r>
    <r>
      <rPr>
        <sz val="10"/>
        <rFont val="Noto Sans CJK SC"/>
        <family val="2"/>
      </rPr>
      <t xml:space="preserve">대시보드 그래프 값 확인
</t>
    </r>
    <r>
      <rPr>
        <sz val="10"/>
        <rFont val="Malgun Gothic"/>
        <family val="3"/>
        <charset val="129"/>
      </rPr>
      <t xml:space="preserve">2. statistics </t>
    </r>
    <r>
      <rPr>
        <sz val="10"/>
        <rFont val="Noto Sans CJK SC"/>
        <family val="2"/>
      </rPr>
      <t xml:space="preserve">테이블 집계값과 비교</t>
    </r>
  </si>
  <si>
    <t xml:space="preserve">그래프의 출석·취소 횟수가 DB 집계값과 일치</t>
  </si>
  <si>
    <t xml:space="preserve">수정 전: 그래프에서 기준일(09-10) 통계 누락 (그래프 4일 / DB 5일). 웹·배치 서버 serverTimezone을 Asia/Seoul로 바꾼 뒤 그래프와 DB 집계 일치</t>
  </si>
  <si>
    <t xml:space="preserve">pytest + requests + PyMySQL (test_admin.py)</t>
  </si>
  <si>
    <t xml:space="preserve">보고서 6.3</t>
  </si>
  <si>
    <t xml:space="preserve">원인: JDBC serverTimezone=UTC와 서버 시간대(KST) 불일치로 조회 시각이 9시간 어긋남. 설정 변경 실험으로 원인 확인</t>
  </si>
  <si>
    <t xml:space="preserve">결과 대조 (DB 집계를 테스트 오라클로 사용) + 확인 테스트 (DEF-005)</t>
  </si>
  <si>
    <t xml:space="preserve">BK-01</t>
  </si>
  <si>
    <t xml:space="preserve">시간이 겹치는 예약</t>
  </si>
  <si>
    <t xml:space="preserve">경계값·네거티브</t>
  </si>
  <si>
    <t xml:space="preserve">이용권을 가진 회원, 예약 1건 존재</t>
  </si>
  <si>
    <t xml:space="preserve">기존 예약과 시작 시간이 같거나 일부 겹치는 시간</t>
  </si>
  <si>
    <t xml:space="preserve">기존 예약과 시간이 겹치는 예약 시도</t>
  </si>
  <si>
    <t xml:space="preserve">예약 차단, 오류 안내</t>
  </si>
  <si>
    <t xml:space="preserve">예정</t>
  </si>
  <si>
    <t xml:space="preserve">예약 시나리오(화면 흐름·데이터) 미설계로 향후 계획</t>
  </si>
  <si>
    <t xml:space="preserve">경계값 분석 (예약 시간 겹침 경계)</t>
  </si>
  <si>
    <t xml:space="preserve">BK-02</t>
  </si>
  <si>
    <t xml:space="preserve">동시 요청 처리</t>
  </si>
  <si>
    <t xml:space="preserve">성능·데이터 정합성</t>
  </si>
  <si>
    <t xml:space="preserve">이용권·강사 시간표 데이터 존재</t>
  </si>
  <si>
    <r>
      <rPr>
        <sz val="10"/>
        <rFont val="Malgun Gothic"/>
        <family val="3"/>
        <charset val="129"/>
      </rPr>
      <t xml:space="preserve">k6 </t>
    </r>
    <r>
      <rPr>
        <sz val="10"/>
        <rFont val="Noto Sans CJK SC"/>
        <family val="2"/>
      </rPr>
      <t xml:space="preserve">병렬 시나리오</t>
    </r>
  </si>
  <si>
    <t xml:space="preserve">이용권 차감, 강사 시간표 변경, 사용자 등록을 동시에 요청</t>
  </si>
  <si>
    <t xml:space="preserve">모든 요청이 정상 처리되고 잔여 횟수 등 데이터가 일관됨</t>
  </si>
  <si>
    <r>
      <rPr>
        <sz val="10"/>
        <rFont val="Malgun Gothic"/>
        <family val="3"/>
        <charset val="129"/>
      </rPr>
      <t xml:space="preserve">k6 (</t>
    </r>
    <r>
      <rPr>
        <sz val="10"/>
        <rFont val="Noto Sans CJK SC"/>
        <family val="2"/>
      </rPr>
      <t xml:space="preserve">예정</t>
    </r>
    <r>
      <rPr>
        <sz val="10"/>
        <rFont val="Malgun Gothic"/>
        <family val="3"/>
        <charset val="129"/>
      </rPr>
      <t xml:space="preserve">)</t>
    </r>
  </si>
  <si>
    <t xml:space="preserve">동시성 테스트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</si>
</sst>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Malgun Gothic"/>
      <family val="3"/>
      <charset val="129"/>
    </font>
    <font>
      <b val="true"/>
      <sz val="16"/>
      <color rgb="FF1F4E79"/>
      <name val="Noto Sans CJK SC"/>
      <family val="2"/>
    </font>
    <font>
      <sz val="9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Malgun Gothic"/>
      <family val="3"/>
      <charset val="129"/>
    </font>
    <font>
      <sz val="11"/>
      <color theme="0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Malgun Gothic"/>
      <family val="3"/>
      <charset val="129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0"/>
      <name val="Noto Sans CJK SC"/>
      <family val="2"/>
      <charset val="1"/>
    </font>
    <font>
      <b val="true"/>
      <sz val="10"/>
      <name val="Malgun Gothic"/>
      <family val="3"/>
      <charset val="129"/>
    </font>
    <font>
      <b val="true"/>
      <sz val="11"/>
      <color rgb="FF1F4E79"/>
      <name val="Noto Sans CJK SC"/>
      <family val="2"/>
      <charset val="1"/>
    </font>
    <font>
      <sz val="10"/>
      <name val="Noto Sans CJK SC"/>
      <family val="2"/>
    </font>
    <font>
      <b val="true"/>
      <sz val="11"/>
      <color rgb="FF1F4E79"/>
      <name val="Noto Sans CJK SC"/>
      <family val="2"/>
    </font>
    <font>
      <b val="true"/>
      <sz val="11"/>
      <color rgb="FF1F4E79"/>
      <name val="Malgun Gothic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name val="Malgun Gothic"/>
      <family val="0"/>
      <charset val="1"/>
    </font>
    <font>
      <sz val="10"/>
      <name val="Malgun Gothic"/>
      <family val="0"/>
      <charset val="1"/>
    </font>
    <font>
      <sz val="9"/>
      <name val="Noto Sans CJK SC"/>
      <family val="2"/>
      <charset val="1"/>
    </font>
    <font>
      <sz val="9"/>
      <name val="Malgun Gothic"/>
      <family val="3"/>
      <charset val="129"/>
    </font>
    <font>
      <sz val="9"/>
      <name val="Noto Sans CJK SC"/>
      <family val="2"/>
    </font>
    <font>
      <sz val="9"/>
      <color rgb="FF000000"/>
      <name val="Noto Sans CJK SC"/>
      <family val="2"/>
      <charset val="1"/>
    </font>
    <font>
      <sz val="9"/>
      <color rgb="FF000000"/>
      <name val="Noto Sans CJK SC"/>
      <family val="0"/>
      <charset val="1"/>
    </font>
    <font>
      <sz val="9"/>
      <color theme="1"/>
      <name val="Noto Sans CJK SC"/>
      <family val="2"/>
      <charset val="1"/>
    </font>
    <font>
      <sz val="9"/>
      <color rgb="FF595959"/>
      <name val="Noto Sans CJK SC"/>
      <family val="2"/>
    </font>
    <font>
      <sz val="9"/>
      <color rgb="FF595959"/>
      <name val="Malgun Gothic"/>
      <family val="0"/>
      <charset val="1"/>
    </font>
    <font>
      <sz val="10"/>
      <color rgb="FF000000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1F497D"/>
      </patternFill>
    </fill>
    <fill>
      <patternFill patternType="solid">
        <fgColor theme="3"/>
        <bgColor rgb="FF1F4E79"/>
      </patternFill>
    </fill>
    <fill>
      <patternFill patternType="solid">
        <fgColor rgb="FFDCE6F1"/>
        <bgColor rgb="FFEDEDED"/>
      </patternFill>
    </fill>
    <fill>
      <patternFill patternType="solid">
        <fgColor theme="4" tint="0.3999"/>
        <bgColor rgb="FF9999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4E79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5" activeCellId="0" sqref="I25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7" min="2" style="1" width="11"/>
    <col collapsed="false" customWidth="true" hidden="false" outlineLevel="0" max="10" min="10" style="0" width="18"/>
    <col collapsed="false" customWidth="true" hidden="false" outlineLevel="0" max="11" min="11" style="1" width="25.85"/>
    <col collapsed="false" customWidth="true" hidden="false" outlineLevel="0" max="12" min="12" style="1" width="28.14"/>
    <col collapsed="false" customWidth="true" hidden="false" outlineLevel="0" max="13" min="13" style="1" width="69.43"/>
  </cols>
  <sheetData>
    <row r="1" customFormat="false" ht="26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5" t="s">
        <v>4</v>
      </c>
      <c r="D4" s="5" t="s">
        <v>5</v>
      </c>
      <c r="E4" s="4" t="s">
        <v>6</v>
      </c>
      <c r="F4" s="5" t="s">
        <v>7</v>
      </c>
      <c r="G4" s="4" t="s">
        <v>8</v>
      </c>
      <c r="J4" s="6" t="s">
        <v>9</v>
      </c>
      <c r="K4" s="6" t="s">
        <v>10</v>
      </c>
      <c r="L4" s="6" t="s">
        <v>11</v>
      </c>
      <c r="M4" s="6" t="s">
        <v>12</v>
      </c>
      <c r="N4" s="6" t="s">
        <v>13</v>
      </c>
    </row>
    <row r="5" customFormat="false" ht="16.5" hidden="false" customHeight="true" outlineLevel="0" collapsed="false">
      <c r="A5" s="7" t="s">
        <v>14</v>
      </c>
      <c r="B5" s="8" t="n">
        <f aca="false">COUNTIF('테스트 케이스'!$B$2:$B$66,A5)</f>
        <v>9</v>
      </c>
      <c r="C5" s="8" t="n">
        <f aca="false">COUNTIFS('테스트 케이스'!$B$2:$B$66,$A5,'테스트 케이스'!$K$2:$K$66,"Pass")</f>
        <v>3</v>
      </c>
      <c r="D5" s="8" t="n">
        <f aca="false">COUNTIFS('테스트 케이스'!$B$2:$B$66,$A5,'테스트 케이스'!$K$2:$K$66,"Fail")</f>
        <v>6</v>
      </c>
      <c r="E5" s="8" t="n">
        <f aca="false">COUNTIFS('테스트 케이스'!$B$2:$B$66,$A5,'테스트 케이스'!$K$2:$K$66,"미수행")</f>
        <v>0</v>
      </c>
      <c r="F5" s="8" t="n">
        <f aca="false">COUNTIFS('테스트 케이스'!$B$2:$B$66,$A5,'테스트 케이스'!$K$2:$K$66,"Blocked")</f>
        <v>0</v>
      </c>
      <c r="G5" s="9" t="n">
        <f aca="false">IF(B5=0,0,(C5+D5+F5)/B5)</f>
        <v>1</v>
      </c>
      <c r="J5" s="10" t="s">
        <v>15</v>
      </c>
      <c r="K5" s="10" t="s">
        <v>16</v>
      </c>
      <c r="L5" s="11" t="s">
        <v>17</v>
      </c>
      <c r="M5" s="12" t="s">
        <v>18</v>
      </c>
      <c r="N5" s="13" t="n">
        <f aca="false">COUNTIF('테스트 케이스'!$A$2:$A$66,"PF-*")</f>
        <v>9</v>
      </c>
    </row>
    <row r="6" customFormat="false" ht="16.5" hidden="false" customHeight="true" outlineLevel="0" collapsed="false">
      <c r="A6" s="7" t="s">
        <v>19</v>
      </c>
      <c r="B6" s="8" t="n">
        <f aca="false">COUNTIF('테스트 케이스'!$B$2:$B$66,A6)</f>
        <v>15</v>
      </c>
      <c r="C6" s="8" t="n">
        <f aca="false">COUNTIFS('테스트 케이스'!$B$2:$B$66,$A6,'테스트 케이스'!$K$2:$K$66,"Pass")</f>
        <v>13</v>
      </c>
      <c r="D6" s="8" t="n">
        <f aca="false">COUNTIFS('테스트 케이스'!$B$2:$B$66,$A6,'테스트 케이스'!$K$2:$K$66,"Fail")</f>
        <v>2</v>
      </c>
      <c r="E6" s="8" t="n">
        <f aca="false">COUNTIFS('테스트 케이스'!$B$2:$B$66,$A6,'테스트 케이스'!$K$2:$K$66,"미수행")</f>
        <v>0</v>
      </c>
      <c r="F6" s="8" t="n">
        <f aca="false">COUNTIFS('테스트 케이스'!$B$2:$B$66,$A6,'테스트 케이스'!$K$2:$K$66,"Blocked")</f>
        <v>0</v>
      </c>
      <c r="G6" s="9" t="n">
        <f aca="false">IF(B6=0,0,(C6+D6+F6)/B6)</f>
        <v>1</v>
      </c>
      <c r="J6" s="10" t="s">
        <v>20</v>
      </c>
      <c r="K6" s="10" t="s">
        <v>21</v>
      </c>
      <c r="L6" s="10" t="s">
        <v>22</v>
      </c>
      <c r="M6" s="14" t="s">
        <v>23</v>
      </c>
      <c r="N6" s="10" t="n">
        <f aca="false">COUNTIF('테스트 케이스'!$A$2:$A$66,"BT-*")</f>
        <v>15</v>
      </c>
    </row>
    <row r="7" customFormat="false" ht="16.5" hidden="false" customHeight="true" outlineLevel="0" collapsed="false">
      <c r="A7" s="7" t="s">
        <v>24</v>
      </c>
      <c r="B7" s="8" t="n">
        <f aca="false">COUNTIF('테스트 케이스'!$B$2:$B$66,A7)</f>
        <v>12</v>
      </c>
      <c r="C7" s="8" t="n">
        <f aca="false">COUNTIFS('테스트 케이스'!$B$2:$B$66,$A7,'테스트 케이스'!$K$2:$K$66,"Pass")</f>
        <v>12</v>
      </c>
      <c r="D7" s="8" t="n">
        <f aca="false">COUNTIFS('테스트 케이스'!$B$2:$B$66,$A7,'테스트 케이스'!$K$2:$K$66,"Fail")</f>
        <v>0</v>
      </c>
      <c r="E7" s="8" t="n">
        <f aca="false">COUNTIFS('테스트 케이스'!$B$2:$B$66,$A7,'테스트 케이스'!$K$2:$K$66,"미수행")</f>
        <v>0</v>
      </c>
      <c r="F7" s="8" t="n">
        <f aca="false">COUNTIFS('테스트 케이스'!$B$2:$B$66,$A7,'테스트 케이스'!$K$2:$K$66,"Blocked")</f>
        <v>0</v>
      </c>
      <c r="G7" s="9" t="n">
        <f aca="false">IF(B7=0,0,(C7+D7+F7)/B7)</f>
        <v>1</v>
      </c>
      <c r="J7" s="10" t="s">
        <v>25</v>
      </c>
      <c r="K7" s="10" t="s">
        <v>26</v>
      </c>
      <c r="L7" s="15" t="s">
        <v>27</v>
      </c>
      <c r="M7" s="16" t="s">
        <v>28</v>
      </c>
      <c r="N7" s="10" t="n">
        <f aca="false">COUNTIF('테스트 케이스'!$A$2:$A$66,"L-*")</f>
        <v>12</v>
      </c>
    </row>
    <row r="8" customFormat="false" ht="16.5" hidden="false" customHeight="true" outlineLevel="0" collapsed="false">
      <c r="A8" s="7" t="s">
        <v>29</v>
      </c>
      <c r="B8" s="8" t="n">
        <f aca="false">COUNTIF('테스트 케이스'!$B$2:$B$66,A8)</f>
        <v>4</v>
      </c>
      <c r="C8" s="8" t="n">
        <f aca="false">COUNTIFS('테스트 케이스'!$B$2:$B$66,$A8,'테스트 케이스'!$K$2:$K$66,"Pass")</f>
        <v>4</v>
      </c>
      <c r="D8" s="8" t="n">
        <f aca="false">COUNTIFS('테스트 케이스'!$B$2:$B$66,$A8,'테스트 케이스'!$K$2:$K$66,"Fail")</f>
        <v>0</v>
      </c>
      <c r="E8" s="8" t="n">
        <f aca="false">COUNTIFS('테스트 케이스'!$B$2:$B$66,$A8,'테스트 케이스'!$K$2:$K$66,"미수행")</f>
        <v>0</v>
      </c>
      <c r="F8" s="8" t="n">
        <f aca="false">COUNTIFS('테스트 케이스'!$B$2:$B$66,$A8,'테스트 케이스'!$K$2:$K$66,"Blocked")</f>
        <v>0</v>
      </c>
      <c r="G8" s="9" t="n">
        <f aca="false">IF(B8=0,0,(C8+D8+F8)/B8)</f>
        <v>1</v>
      </c>
      <c r="J8" s="10" t="s">
        <v>30</v>
      </c>
      <c r="K8" s="10" t="s">
        <v>31</v>
      </c>
      <c r="L8" s="15" t="s">
        <v>29</v>
      </c>
      <c r="M8" s="16" t="s">
        <v>32</v>
      </c>
      <c r="N8" s="10" t="n">
        <f aca="false">COUNTIF('테스트 케이스'!$A$2:$A$66,"LA-*")</f>
        <v>4</v>
      </c>
    </row>
    <row r="9" customFormat="false" ht="16.5" hidden="false" customHeight="true" outlineLevel="0" collapsed="false">
      <c r="A9" s="7" t="s">
        <v>33</v>
      </c>
      <c r="B9" s="8" t="n">
        <f aca="false">COUNTIF('테스트 케이스'!$B$2:$B$66,A9)</f>
        <v>2</v>
      </c>
      <c r="C9" s="8" t="n">
        <f aca="false">COUNTIFS('테스트 케이스'!$B$2:$B$66,$A9,'테스트 케이스'!$K$2:$K$66,"Pass")</f>
        <v>2</v>
      </c>
      <c r="D9" s="8" t="n">
        <f aca="false">COUNTIFS('테스트 케이스'!$B$2:$B$66,$A9,'테스트 케이스'!$K$2:$K$66,"Fail")</f>
        <v>0</v>
      </c>
      <c r="E9" s="8" t="n">
        <f aca="false">COUNTIFS('테스트 케이스'!$B$2:$B$66,$A9,'테스트 케이스'!$K$2:$K$66,"미수행")</f>
        <v>0</v>
      </c>
      <c r="F9" s="8" t="n">
        <f aca="false">COUNTIFS('테스트 케이스'!$B$2:$B$66,$A9,'테스트 케이스'!$K$2:$K$66,"Blocked")</f>
        <v>0</v>
      </c>
      <c r="G9" s="9" t="n">
        <f aca="false">IF(B9=0,0,(C9+D9+F9)/B9)</f>
        <v>1</v>
      </c>
      <c r="J9" s="10" t="s">
        <v>34</v>
      </c>
      <c r="K9" s="10" t="s">
        <v>35</v>
      </c>
      <c r="L9" s="15" t="s">
        <v>33</v>
      </c>
      <c r="M9" s="16" t="s">
        <v>36</v>
      </c>
      <c r="N9" s="10" t="n">
        <f aca="false">COUNTIF('테스트 케이스'!$A$2:$A$66,"SC-*")</f>
        <v>2</v>
      </c>
    </row>
    <row r="10" customFormat="false" ht="16.5" hidden="false" customHeight="true" outlineLevel="0" collapsed="false">
      <c r="A10" s="7" t="s">
        <v>37</v>
      </c>
      <c r="B10" s="8" t="n">
        <f aca="false">COUNTIF('테스트 케이스'!$B$2:$B$66,A10)</f>
        <v>1</v>
      </c>
      <c r="C10" s="8" t="n">
        <f aca="false">COUNTIFS('테스트 케이스'!$B$2:$B$66,$A10,'테스트 케이스'!$K$2:$K$66,"Pass")</f>
        <v>1</v>
      </c>
      <c r="D10" s="8" t="n">
        <f aca="false">COUNTIFS('테스트 케이스'!$B$2:$B$66,$A10,'테스트 케이스'!$K$2:$K$66,"Fail")</f>
        <v>0</v>
      </c>
      <c r="E10" s="8" t="n">
        <f aca="false">COUNTIFS('테스트 케이스'!$B$2:$B$66,$A10,'테스트 케이스'!$K$2:$K$66,"미수행")</f>
        <v>0</v>
      </c>
      <c r="F10" s="8" t="n">
        <f aca="false">COUNTIFS('테스트 케이스'!$B$2:$B$66,$A10,'테스트 케이스'!$K$2:$K$66,"Blocked")</f>
        <v>0</v>
      </c>
      <c r="G10" s="9" t="n">
        <f aca="false">IF(B10=0,0,(C10+D10+F10)/B10)</f>
        <v>1</v>
      </c>
      <c r="J10" s="10" t="s">
        <v>38</v>
      </c>
      <c r="K10" s="10" t="s">
        <v>39</v>
      </c>
      <c r="L10" s="15" t="s">
        <v>37</v>
      </c>
      <c r="M10" s="16" t="s">
        <v>40</v>
      </c>
      <c r="N10" s="10" t="n">
        <f aca="false">COUNTIF('테스트 케이스'!$A$2:$A$66,"JN-*")</f>
        <v>15</v>
      </c>
    </row>
    <row r="11" customFormat="false" ht="16.5" hidden="false" customHeight="true" outlineLevel="0" collapsed="false">
      <c r="A11" s="7" t="s">
        <v>41</v>
      </c>
      <c r="B11" s="8" t="n">
        <f aca="false">COUNTIF('테스트 케이스'!$B$2:$B$66,A11)</f>
        <v>14</v>
      </c>
      <c r="C11" s="8" t="n">
        <f aca="false">COUNTIFS('테스트 케이스'!$B$2:$B$66,$A11,'테스트 케이스'!$K$2:$K$66,"Pass")</f>
        <v>12</v>
      </c>
      <c r="D11" s="8" t="n">
        <f aca="false">COUNTIFS('테스트 케이스'!$B$2:$B$66,$A11,'테스트 케이스'!$K$2:$K$66,"Fail")</f>
        <v>2</v>
      </c>
      <c r="E11" s="8" t="n">
        <f aca="false">COUNTIFS('테스트 케이스'!$B$2:$B$66,$A11,'테스트 케이스'!$K$2:$K$66,"미수행")</f>
        <v>0</v>
      </c>
      <c r="F11" s="8" t="n">
        <f aca="false">COUNTIFS('테스트 케이스'!$B$2:$B$66,$A11,'테스트 케이스'!$K$2:$K$66,"Blocked")</f>
        <v>0</v>
      </c>
      <c r="G11" s="9" t="n">
        <f aca="false">IF(B11=0,0,(C11+D11+F11)/B11)</f>
        <v>1</v>
      </c>
      <c r="J11" s="17" t="s">
        <v>42</v>
      </c>
      <c r="K11" s="17" t="s">
        <v>43</v>
      </c>
      <c r="L11" s="18" t="s">
        <v>44</v>
      </c>
      <c r="M11" s="19" t="s">
        <v>45</v>
      </c>
      <c r="N11" s="17" t="n">
        <f aca="false">COUNTIF('테스트 케이스'!$A$2:$A$66,"AD-*")</f>
        <v>6</v>
      </c>
    </row>
    <row r="12" customFormat="false" ht="16.5" hidden="false" customHeight="true" outlineLevel="0" collapsed="false">
      <c r="A12" s="7" t="s">
        <v>44</v>
      </c>
      <c r="B12" s="8" t="n">
        <f aca="false">COUNTIF('테스트 케이스'!$B$2:$B$66,A12)</f>
        <v>6</v>
      </c>
      <c r="C12" s="8" t="n">
        <f aca="false">COUNTIFS('테스트 케이스'!$B$2:$B$66,$A12,'테스트 케이스'!$K$2:$K$66,"Pass")</f>
        <v>6</v>
      </c>
      <c r="D12" s="8" t="n">
        <f aca="false">COUNTIFS('테스트 케이스'!$B$2:$B$66,$A12,'테스트 케이스'!$K$2:$K$66,"Fail")</f>
        <v>0</v>
      </c>
      <c r="E12" s="8" t="n">
        <f aca="false">COUNTIFS('테스트 케이스'!$B$2:$B$66,$A12,'테스트 케이스'!$K$2:$K$66,"미수행")</f>
        <v>0</v>
      </c>
      <c r="F12" s="8" t="n">
        <f aca="false">COUNTIFS('테스트 케이스'!$B$2:$B$66,$A12,'테스트 케이스'!$K$2:$K$66,"Blocked")</f>
        <v>0</v>
      </c>
      <c r="G12" s="9" t="n">
        <f aca="false">IF(B12=0,0,(C12+D12+F12)/B12)</f>
        <v>1</v>
      </c>
      <c r="J12" s="10" t="s">
        <v>46</v>
      </c>
      <c r="K12" s="10" t="s">
        <v>47</v>
      </c>
      <c r="L12" s="15" t="s">
        <v>48</v>
      </c>
      <c r="M12" s="16" t="s">
        <v>49</v>
      </c>
      <c r="N12" s="10" t="n">
        <f aca="false">COUNTIF('테스트 케이스'!$A$2:$A$66,"BK-*")</f>
        <v>2</v>
      </c>
    </row>
    <row r="13" customFormat="false" ht="15" hidden="false" customHeight="true" outlineLevel="0" collapsed="false">
      <c r="A13" s="7" t="s">
        <v>48</v>
      </c>
      <c r="B13" s="8" t="n">
        <f aca="false">COUNTIF('테스트 케이스'!$B$2:$B$66,A13)</f>
        <v>2</v>
      </c>
      <c r="C13" s="8" t="n">
        <f aca="false">COUNTIFS('테스트 케이스'!$B$2:$B$66,$A13,'테스트 케이스'!$K$2:$K$66,"Pass")</f>
        <v>0</v>
      </c>
      <c r="D13" s="8" t="n">
        <f aca="false">COUNTIFS('테스트 케이스'!$B$2:$B$66,$A13,'테스트 케이스'!$K$2:$K$66,"Fail")</f>
        <v>0</v>
      </c>
      <c r="E13" s="8" t="n">
        <f aca="false">COUNTIFS('테스트 케이스'!$B$2:$B$66,$A13,'테스트 케이스'!$K$2:$K$66,"미수행")</f>
        <v>2</v>
      </c>
      <c r="F13" s="8" t="n">
        <f aca="false">COUNTIFS('테스트 케이스'!$B$2:$B$66,$A13,'테스트 케이스'!$K$2:$K$66,"Blocked")</f>
        <v>0</v>
      </c>
      <c r="G13" s="9" t="n">
        <f aca="false">IF(B13=0,0,(C13+D13+F13)/B13)</f>
        <v>0</v>
      </c>
      <c r="J13" s="20"/>
      <c r="K13" s="20"/>
      <c r="L13" s="20"/>
      <c r="N13" s="20"/>
    </row>
    <row r="14" customFormat="false" ht="15" hidden="false" customHeight="true" outlineLevel="0" collapsed="false">
      <c r="A14" s="21" t="s">
        <v>50</v>
      </c>
      <c r="B14" s="22" t="n">
        <f aca="false">SUM(B5:B13)</f>
        <v>65</v>
      </c>
      <c r="C14" s="22" t="n">
        <f aca="false">SUM(C5:C13)</f>
        <v>53</v>
      </c>
      <c r="D14" s="22" t="n">
        <f aca="false">SUM(D5:D13)</f>
        <v>10</v>
      </c>
      <c r="E14" s="22" t="n">
        <f aca="false">SUM(E5:E13)</f>
        <v>2</v>
      </c>
      <c r="F14" s="22" t="n">
        <f aca="false">SUM(F5:F13)</f>
        <v>0</v>
      </c>
      <c r="G14" s="23" t="n">
        <f aca="false">IF(B14=0,0,(C14+D14+F14)/B14)</f>
        <v>0.969230769230769</v>
      </c>
    </row>
    <row r="16" customFormat="false" ht="15" hidden="false" customHeight="true" outlineLevel="0" collapsed="false">
      <c r="A16" s="24" t="s">
        <v>51</v>
      </c>
    </row>
    <row r="17" customFormat="false" ht="15" hidden="false" customHeight="true" outlineLevel="0" collapsed="false">
      <c r="A17" s="4" t="s">
        <v>52</v>
      </c>
      <c r="B17" s="4" t="s">
        <v>53</v>
      </c>
      <c r="C17" s="5" t="s">
        <v>5</v>
      </c>
      <c r="D17" s="4" t="s">
        <v>54</v>
      </c>
      <c r="E17" s="4"/>
      <c r="F17" s="4"/>
      <c r="G17" s="4"/>
      <c r="J17" s="25" t="s">
        <v>9</v>
      </c>
      <c r="K17" s="25" t="s">
        <v>55</v>
      </c>
      <c r="L17" s="25" t="s">
        <v>56</v>
      </c>
    </row>
    <row r="18" customFormat="false" ht="16.5" hidden="false" customHeight="true" outlineLevel="0" collapsed="false">
      <c r="A18" s="26" t="s">
        <v>57</v>
      </c>
      <c r="B18" s="8" t="n">
        <f aca="false">COUNTIF('테스트 케이스'!$L$2:$L$66,A18)</f>
        <v>2</v>
      </c>
      <c r="C18" s="8" t="n">
        <f aca="false">COUNTIFS('테스트 케이스'!$L$2:$L$66,A18,'테스트 케이스'!$K$2:$K$66,"Fail")</f>
        <v>0</v>
      </c>
      <c r="D18" s="7" t="s">
        <v>58</v>
      </c>
      <c r="E18" s="7"/>
      <c r="F18" s="7"/>
      <c r="G18" s="7"/>
      <c r="J18" s="12" t="s">
        <v>59</v>
      </c>
      <c r="K18" s="16" t="s">
        <v>60</v>
      </c>
      <c r="L18" s="12" t="s">
        <v>61</v>
      </c>
    </row>
    <row r="19" customFormat="false" ht="16.5" hidden="false" customHeight="true" outlineLevel="0" collapsed="false">
      <c r="A19" s="26" t="s">
        <v>62</v>
      </c>
      <c r="B19" s="8" t="n">
        <f aca="false">COUNTIF('테스트 케이스'!$L$2:$L$66,A19)</f>
        <v>2</v>
      </c>
      <c r="C19" s="8" t="n">
        <f aca="false">COUNTIFS('테스트 케이스'!$L$2:$L$66,A19,'테스트 케이스'!$K$2:$K$66,"Fail")</f>
        <v>0</v>
      </c>
      <c r="D19" s="7" t="s">
        <v>63</v>
      </c>
      <c r="E19" s="7"/>
      <c r="F19" s="7"/>
      <c r="G19" s="7"/>
      <c r="J19" s="12" t="s">
        <v>64</v>
      </c>
      <c r="K19" s="16" t="s">
        <v>65</v>
      </c>
      <c r="L19" s="12" t="s">
        <v>66</v>
      </c>
    </row>
    <row r="20" customFormat="false" ht="16.5" hidden="false" customHeight="true" outlineLevel="0" collapsed="false">
      <c r="A20" s="26" t="s">
        <v>67</v>
      </c>
      <c r="B20" s="8" t="n">
        <f aca="false">COUNTIF('테스트 케이스'!$L$2:$L$66,A20)</f>
        <v>1</v>
      </c>
      <c r="C20" s="8" t="n">
        <f aca="false">COUNTIFS('테스트 케이스'!$L$2:$L$66,A20,'테스트 케이스'!$K$2:$K$66,"Fail")</f>
        <v>1</v>
      </c>
      <c r="D20" s="26" t="s">
        <v>68</v>
      </c>
      <c r="E20" s="26"/>
      <c r="F20" s="26"/>
      <c r="G20" s="26"/>
      <c r="J20" s="12" t="s">
        <v>69</v>
      </c>
      <c r="K20" s="16" t="s">
        <v>70</v>
      </c>
      <c r="L20" s="12" t="s">
        <v>71</v>
      </c>
    </row>
    <row r="21" customFormat="false" ht="15" hidden="false" customHeight="true" outlineLevel="0" collapsed="false">
      <c r="A21" s="26" t="s">
        <v>72</v>
      </c>
      <c r="B21" s="8" t="n">
        <f aca="false">COUNTIF('테스트 케이스'!$L$2:$L$66,A21)</f>
        <v>1</v>
      </c>
      <c r="C21" s="8" t="n">
        <f aca="false">COUNTIFS('테스트 케이스'!$L$2:$L$66,A21,'테스트 케이스'!$K$2:$K$66,"Fail")</f>
        <v>1</v>
      </c>
      <c r="D21" s="7" t="s">
        <v>73</v>
      </c>
      <c r="E21" s="7"/>
      <c r="F21" s="7"/>
      <c r="G21" s="7"/>
    </row>
    <row r="22" customFormat="false" ht="15" hidden="false" customHeight="true" outlineLevel="0" collapsed="false">
      <c r="A22" s="26" t="s">
        <v>74</v>
      </c>
      <c r="B22" s="8" t="n">
        <f aca="false">COUNTIF('테스트 케이스'!$L$2:$L$66,A22)</f>
        <v>1</v>
      </c>
      <c r="C22" s="8" t="n">
        <f aca="false">COUNTIFS('테스트 케이스'!$L$2:$L$66,A22,'테스트 케이스'!$K$2:$K$66,"Fail")</f>
        <v>0</v>
      </c>
      <c r="D22" s="26" t="s">
        <v>75</v>
      </c>
      <c r="E22" s="26"/>
      <c r="F22" s="26"/>
      <c r="G22" s="26"/>
      <c r="J22" s="27" t="s">
        <v>76</v>
      </c>
    </row>
    <row r="23" customFormat="false" ht="15" hidden="false" customHeight="true" outlineLevel="0" collapsed="false">
      <c r="A23" s="26" t="s">
        <v>77</v>
      </c>
      <c r="B23" s="8" t="n">
        <f aca="false">COUNTIF('테스트 케이스'!$L$2:$L$66,A23)</f>
        <v>3</v>
      </c>
      <c r="C23" s="8" t="n">
        <f aca="false">COUNTIFS('테스트 케이스'!$L$2:$L$66,A23,'테스트 케이스'!$K$2:$K$66,"Fail")</f>
        <v>2</v>
      </c>
      <c r="D23" s="7" t="s">
        <v>78</v>
      </c>
      <c r="E23" s="7"/>
      <c r="F23" s="7"/>
      <c r="G23" s="7"/>
      <c r="J23" s="28" t="s">
        <v>79</v>
      </c>
      <c r="K23" s="29" t="s">
        <v>80</v>
      </c>
    </row>
    <row r="24" customFormat="false" ht="15" hidden="false" customHeight="true" outlineLevel="0" collapsed="false">
      <c r="A24" s="26" t="s">
        <v>81</v>
      </c>
      <c r="B24" s="8" t="n">
        <f aca="false">COUNTIF('테스트 케이스'!$L$2:$L$66,A24)</f>
        <v>1</v>
      </c>
      <c r="C24" s="8" t="n">
        <f aca="false">COUNTIFS('테스트 케이스'!$L$2:$L$66,A24,'테스트 케이스'!$K$2:$K$66,"Fail")</f>
        <v>1</v>
      </c>
      <c r="D24" s="7" t="s">
        <v>82</v>
      </c>
      <c r="E24" s="7"/>
      <c r="F24" s="7"/>
      <c r="G24" s="7"/>
      <c r="J24" s="30" t="s">
        <v>83</v>
      </c>
      <c r="K24" s="31" t="n">
        <f aca="false">COUNTIF('테스트 케이스'!$P$2:$P$66,"블랙박스")</f>
        <v>35</v>
      </c>
    </row>
    <row r="25" customFormat="false" ht="15" hidden="false" customHeight="true" outlineLevel="0" collapsed="false">
      <c r="A25" s="26" t="s">
        <v>84</v>
      </c>
      <c r="B25" s="8" t="n">
        <f aca="false">COUNTIF('테스트 케이스'!$L$2:$L$66,A25)</f>
        <v>2</v>
      </c>
      <c r="C25" s="8" t="n">
        <f aca="false">COUNTIFS('테스트 케이스'!$L$2:$L$66,A25,'테스트 케이스'!$K$2:$K$66,"Fail")</f>
        <v>0</v>
      </c>
      <c r="D25" s="7" t="s">
        <v>85</v>
      </c>
      <c r="E25" s="7"/>
      <c r="F25" s="7"/>
      <c r="G25" s="7"/>
      <c r="J25" s="32" t="s">
        <v>86</v>
      </c>
      <c r="K25" s="33" t="n">
        <f aca="false">COUNTIF('테스트 케이스'!$Q$2:$Q$66,"*동등 분할*")</f>
        <v>12</v>
      </c>
    </row>
    <row r="26" customFormat="false" ht="15" hidden="false" customHeight="true" outlineLevel="0" collapsed="false">
      <c r="A26" s="24" t="s">
        <v>87</v>
      </c>
      <c r="J26" s="32" t="s">
        <v>88</v>
      </c>
      <c r="K26" s="33" t="n">
        <f aca="false">COUNTIF('테스트 케이스'!$Q$2:$Q$66,"*경계값 분석*")</f>
        <v>10</v>
      </c>
    </row>
    <row r="27" customFormat="false" ht="30" hidden="false" customHeight="true" outlineLevel="0" collapsed="false">
      <c r="A27" s="34" t="s">
        <v>89</v>
      </c>
      <c r="B27" s="34"/>
      <c r="C27" s="34"/>
      <c r="D27" s="34"/>
      <c r="E27" s="34"/>
      <c r="F27" s="34"/>
      <c r="G27" s="34"/>
      <c r="J27" s="32" t="s">
        <v>90</v>
      </c>
      <c r="K27" s="33" t="n">
        <f aca="false">COUNTIF('테스트 케이스'!$Q$2:$Q$66,"*결정 테이블*")</f>
        <v>8</v>
      </c>
    </row>
    <row r="28" customFormat="false" ht="30" hidden="false" customHeight="true" outlineLevel="0" collapsed="false">
      <c r="A28" s="34" t="s">
        <v>91</v>
      </c>
      <c r="B28" s="34"/>
      <c r="C28" s="34"/>
      <c r="D28" s="34"/>
      <c r="E28" s="34"/>
      <c r="F28" s="34"/>
      <c r="G28" s="34"/>
      <c r="J28" s="32" t="s">
        <v>92</v>
      </c>
      <c r="K28" s="33" t="n">
        <f aca="false">COUNTIF('테스트 케이스'!$Q$2:$Q$66,"*상태 전이*")</f>
        <v>4</v>
      </c>
    </row>
    <row r="29" customFormat="false" ht="30" hidden="false" customHeight="true" outlineLevel="0" collapsed="false">
      <c r="A29" s="35" t="s">
        <v>93</v>
      </c>
      <c r="B29" s="35"/>
      <c r="C29" s="35"/>
      <c r="D29" s="35"/>
      <c r="E29" s="35"/>
      <c r="F29" s="35"/>
      <c r="G29" s="35"/>
      <c r="J29" s="32" t="s">
        <v>94</v>
      </c>
      <c r="K29" s="33" t="n">
        <f aca="false">COUNTIF('테스트 케이스'!$Q$2:$Q$66,"*결과 대조*")</f>
        <v>5</v>
      </c>
    </row>
    <row r="30" customFormat="false" ht="30" hidden="false" customHeight="true" outlineLevel="0" collapsed="false">
      <c r="A30" s="35" t="s">
        <v>95</v>
      </c>
      <c r="B30" s="35"/>
      <c r="C30" s="35"/>
      <c r="D30" s="35"/>
      <c r="E30" s="35"/>
      <c r="F30" s="35"/>
      <c r="G30" s="35"/>
      <c r="J30" s="30" t="s">
        <v>96</v>
      </c>
      <c r="K30" s="31" t="n">
        <f aca="false">COUNTIF('테스트 케이스'!$P$2:$P$66,"화이트박스 관점")</f>
        <v>4</v>
      </c>
    </row>
    <row r="31" customFormat="false" ht="30" hidden="false" customHeight="true" outlineLevel="0" collapsed="false">
      <c r="A31" s="34" t="s">
        <v>97</v>
      </c>
      <c r="B31" s="34"/>
      <c r="C31" s="34"/>
      <c r="D31" s="34"/>
      <c r="E31" s="34"/>
      <c r="F31" s="34"/>
      <c r="G31" s="34"/>
      <c r="J31" s="30" t="s">
        <v>98</v>
      </c>
      <c r="K31" s="31" t="n">
        <f aca="false">COUNTIF('테스트 케이스'!$P$2:$P$66,"경험 기반")</f>
        <v>9</v>
      </c>
    </row>
    <row r="32" customFormat="false" ht="30" hidden="false" customHeight="true" outlineLevel="0" collapsed="false">
      <c r="A32" s="36" t="s">
        <v>99</v>
      </c>
      <c r="B32" s="36"/>
      <c r="C32" s="36"/>
      <c r="D32" s="36"/>
      <c r="E32" s="36"/>
      <c r="F32" s="36"/>
      <c r="G32" s="36"/>
      <c r="J32" s="32" t="s">
        <v>100</v>
      </c>
      <c r="K32" s="33" t="n">
        <f aca="false">COUNTIF('테스트 케이스'!$Q$2:$Q$66,"*오류 추정*")</f>
        <v>4</v>
      </c>
    </row>
    <row r="33" customFormat="false" ht="15" hidden="false" customHeight="true" outlineLevel="0" collapsed="false">
      <c r="A33" s="37" t="s">
        <v>101</v>
      </c>
      <c r="J33" s="32" t="s">
        <v>102</v>
      </c>
      <c r="K33" s="33" t="n">
        <f aca="false">COUNTIF('테스트 케이스'!$Q$2:$Q$66,"*탐색적*")</f>
        <v>4</v>
      </c>
    </row>
    <row r="34" customFormat="false" ht="15" hidden="false" customHeight="true" outlineLevel="0" collapsed="false">
      <c r="A34" s="38" t="s">
        <v>103</v>
      </c>
      <c r="J34" s="32" t="s">
        <v>104</v>
      </c>
      <c r="K34" s="33" t="n">
        <f aca="false">COUNTIF('테스트 케이스'!$Q$2:$Q$66,"*체크리스트*")</f>
        <v>1</v>
      </c>
    </row>
    <row r="35" customFormat="false" ht="15" hidden="false" customHeight="false" outlineLevel="0" collapsed="false">
      <c r="J35" s="30" t="s">
        <v>105</v>
      </c>
      <c r="K35" s="31" t="n">
        <f aca="false">COUNTIF('테스트 케이스'!$P$2:$P$66,"비기능 측정")</f>
        <v>17</v>
      </c>
    </row>
    <row r="36" customFormat="false" ht="15" hidden="false" customHeight="false" outlineLevel="0" collapsed="false">
      <c r="J36" s="32" t="s">
        <v>106</v>
      </c>
      <c r="K36" s="33" t="n">
        <f aca="false">COUNTIF('테스트 케이스'!$Q$2:$Q$66,"*확인*")</f>
        <v>6</v>
      </c>
    </row>
    <row r="37" customFormat="false" ht="15" hidden="false" customHeight="false" outlineLevel="0" collapsed="false">
      <c r="J37" s="32" t="s">
        <v>107</v>
      </c>
      <c r="K37" s="33" t="n">
        <f aca="false">COUNTIF('테스트 케이스'!$Q$2:$Q$66,"*리그레션*")</f>
        <v>6</v>
      </c>
    </row>
    <row r="38" customFormat="false" ht="15" hidden="false" customHeight="false" outlineLevel="0" collapsed="false">
      <c r="J38" s="39" t="s">
        <v>108</v>
      </c>
    </row>
  </sheetData>
  <mergeCells count="15">
    <mergeCell ref="D17:G17"/>
    <mergeCell ref="D18:G18"/>
    <mergeCell ref="D19:G19"/>
    <mergeCell ref="D20:G20"/>
    <mergeCell ref="D21:G21"/>
    <mergeCell ref="D22:G22"/>
    <mergeCell ref="D23:G23"/>
    <mergeCell ref="D24:G24"/>
    <mergeCell ref="D25:G25"/>
    <mergeCell ref="A27:G27"/>
    <mergeCell ref="A28:G28"/>
    <mergeCell ref="A29:G29"/>
    <mergeCell ref="A30:G30"/>
    <mergeCell ref="A31:G31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O68" activeCellId="0" sqref="O68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29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38.71"/>
    <col collapsed="false" customWidth="true" hidden="false" outlineLevel="0" max="7" min="7" style="1" width="24"/>
    <col collapsed="false" customWidth="true" hidden="false" outlineLevel="0" max="8" min="8" style="1" width="67"/>
    <col collapsed="false" customWidth="true" hidden="false" outlineLevel="0" max="9" min="9" style="1" width="32"/>
    <col collapsed="false" customWidth="true" hidden="false" outlineLevel="0" max="10" min="10" style="1" width="36.29"/>
    <col collapsed="false" customWidth="true" hidden="false" outlineLevel="0" max="11" min="11" style="1" width="9"/>
    <col collapsed="false" customWidth="true" hidden="false" outlineLevel="0" max="12" min="12" style="1" width="10"/>
    <col collapsed="false" customWidth="true" hidden="false" outlineLevel="0" max="13" min="13" style="1" width="22"/>
    <col collapsed="false" customWidth="true" hidden="false" outlineLevel="0" max="14" min="14" style="1" width="16"/>
    <col collapsed="false" customWidth="true" hidden="false" outlineLevel="0" max="15" min="15" style="1" width="34.57"/>
    <col collapsed="false" customWidth="true" hidden="false" outlineLevel="0" max="16" min="16" style="0" width="14"/>
    <col collapsed="false" customWidth="true" hidden="false" outlineLevel="0" max="17" min="17" style="0" width="44"/>
  </cols>
  <sheetData>
    <row r="1" customFormat="false" ht="24" hidden="false" customHeight="true" outlineLevel="0" collapsed="false">
      <c r="A1" s="40" t="s">
        <v>109</v>
      </c>
      <c r="B1" s="41" t="s">
        <v>2</v>
      </c>
      <c r="C1" s="41" t="s">
        <v>110</v>
      </c>
      <c r="D1" s="41" t="s">
        <v>111</v>
      </c>
      <c r="E1" s="41" t="s">
        <v>112</v>
      </c>
      <c r="F1" s="41" t="s">
        <v>113</v>
      </c>
      <c r="G1" s="42" t="s">
        <v>114</v>
      </c>
      <c r="H1" s="42" t="s">
        <v>115</v>
      </c>
      <c r="I1" s="41" t="s">
        <v>116</v>
      </c>
      <c r="J1" s="41" t="s">
        <v>117</v>
      </c>
      <c r="K1" s="41" t="s">
        <v>118</v>
      </c>
      <c r="L1" s="41" t="s">
        <v>119</v>
      </c>
      <c r="M1" s="41" t="s">
        <v>120</v>
      </c>
      <c r="N1" s="41" t="s">
        <v>121</v>
      </c>
      <c r="O1" s="41" t="s">
        <v>122</v>
      </c>
      <c r="P1" s="41" t="s">
        <v>123</v>
      </c>
      <c r="Q1" s="41" t="s">
        <v>124</v>
      </c>
    </row>
    <row r="2" customFormat="false" ht="40.5" hidden="false" customHeight="true" outlineLevel="0" collapsed="false">
      <c r="A2" s="43" t="s">
        <v>125</v>
      </c>
      <c r="B2" s="44" t="s">
        <v>14</v>
      </c>
      <c r="C2" s="45" t="s">
        <v>126</v>
      </c>
      <c r="D2" s="44" t="s">
        <v>127</v>
      </c>
      <c r="E2" s="43" t="s">
        <v>128</v>
      </c>
      <c r="F2" s="45"/>
      <c r="G2" s="46" t="s">
        <v>129</v>
      </c>
      <c r="H2" s="46" t="s">
        <v>130</v>
      </c>
      <c r="I2" s="45" t="s">
        <v>131</v>
      </c>
      <c r="J2" s="46" t="s">
        <v>132</v>
      </c>
      <c r="K2" s="43" t="s">
        <v>4</v>
      </c>
      <c r="L2" s="43" t="s">
        <v>133</v>
      </c>
      <c r="M2" s="46" t="s">
        <v>134</v>
      </c>
      <c r="N2" s="45" t="s">
        <v>135</v>
      </c>
      <c r="O2" s="45" t="s">
        <v>136</v>
      </c>
      <c r="P2" s="44" t="s">
        <v>105</v>
      </c>
      <c r="Q2" s="45" t="s">
        <v>137</v>
      </c>
    </row>
    <row r="3" customFormat="false" ht="40.5" hidden="false" customHeight="true" outlineLevel="0" collapsed="false">
      <c r="A3" s="43" t="s">
        <v>138</v>
      </c>
      <c r="B3" s="44" t="s">
        <v>14</v>
      </c>
      <c r="C3" s="45" t="s">
        <v>126</v>
      </c>
      <c r="D3" s="44" t="s">
        <v>127</v>
      </c>
      <c r="E3" s="43" t="s">
        <v>128</v>
      </c>
      <c r="F3" s="45"/>
      <c r="G3" s="46" t="s">
        <v>139</v>
      </c>
      <c r="H3" s="46" t="s">
        <v>130</v>
      </c>
      <c r="I3" s="45" t="s">
        <v>131</v>
      </c>
      <c r="J3" s="46" t="s">
        <v>140</v>
      </c>
      <c r="K3" s="43" t="s">
        <v>5</v>
      </c>
      <c r="L3" s="43" t="s">
        <v>133</v>
      </c>
      <c r="M3" s="46" t="s">
        <v>134</v>
      </c>
      <c r="N3" s="45" t="s">
        <v>135</v>
      </c>
      <c r="O3" s="45" t="s">
        <v>141</v>
      </c>
      <c r="P3" s="44" t="s">
        <v>105</v>
      </c>
      <c r="Q3" s="45" t="s">
        <v>137</v>
      </c>
    </row>
    <row r="4" customFormat="false" ht="40.5" hidden="false" customHeight="true" outlineLevel="0" collapsed="false">
      <c r="A4" s="43" t="s">
        <v>142</v>
      </c>
      <c r="B4" s="44" t="s">
        <v>14</v>
      </c>
      <c r="C4" s="45" t="s">
        <v>126</v>
      </c>
      <c r="D4" s="44" t="s">
        <v>127</v>
      </c>
      <c r="E4" s="43" t="s">
        <v>128</v>
      </c>
      <c r="F4" s="45"/>
      <c r="G4" s="46" t="s">
        <v>143</v>
      </c>
      <c r="H4" s="46" t="s">
        <v>130</v>
      </c>
      <c r="I4" s="45" t="s">
        <v>131</v>
      </c>
      <c r="J4" s="46" t="s">
        <v>144</v>
      </c>
      <c r="K4" s="43" t="s">
        <v>5</v>
      </c>
      <c r="L4" s="43" t="s">
        <v>133</v>
      </c>
      <c r="M4" s="46" t="s">
        <v>134</v>
      </c>
      <c r="N4" s="45" t="s">
        <v>135</v>
      </c>
      <c r="O4" s="45" t="s">
        <v>141</v>
      </c>
      <c r="P4" s="44" t="s">
        <v>105</v>
      </c>
      <c r="Q4" s="45" t="s">
        <v>137</v>
      </c>
    </row>
    <row r="5" customFormat="false" ht="40.5" hidden="false" customHeight="true" outlineLevel="0" collapsed="false">
      <c r="A5" s="43" t="s">
        <v>145</v>
      </c>
      <c r="B5" s="44" t="s">
        <v>14</v>
      </c>
      <c r="C5" s="45" t="s">
        <v>126</v>
      </c>
      <c r="D5" s="44" t="s">
        <v>127</v>
      </c>
      <c r="E5" s="43" t="s">
        <v>128</v>
      </c>
      <c r="F5" s="45"/>
      <c r="G5" s="46" t="s">
        <v>146</v>
      </c>
      <c r="H5" s="46" t="s">
        <v>130</v>
      </c>
      <c r="I5" s="45" t="s">
        <v>131</v>
      </c>
      <c r="J5" s="46" t="s">
        <v>147</v>
      </c>
      <c r="K5" s="43" t="s">
        <v>5</v>
      </c>
      <c r="L5" s="43" t="s">
        <v>133</v>
      </c>
      <c r="M5" s="46" t="s">
        <v>134</v>
      </c>
      <c r="N5" s="45" t="s">
        <v>135</v>
      </c>
      <c r="O5" s="45" t="s">
        <v>141</v>
      </c>
      <c r="P5" s="44" t="s">
        <v>105</v>
      </c>
      <c r="Q5" s="45" t="s">
        <v>137</v>
      </c>
    </row>
    <row r="6" customFormat="false" ht="40.5" hidden="false" customHeight="true" outlineLevel="0" collapsed="false">
      <c r="A6" s="43" t="s">
        <v>148</v>
      </c>
      <c r="B6" s="44" t="s">
        <v>14</v>
      </c>
      <c r="C6" s="45" t="s">
        <v>126</v>
      </c>
      <c r="D6" s="44" t="s">
        <v>127</v>
      </c>
      <c r="E6" s="43" t="s">
        <v>128</v>
      </c>
      <c r="F6" s="45"/>
      <c r="G6" s="46" t="s">
        <v>149</v>
      </c>
      <c r="H6" s="46" t="s">
        <v>130</v>
      </c>
      <c r="I6" s="45" t="s">
        <v>131</v>
      </c>
      <c r="J6" s="46" t="s">
        <v>150</v>
      </c>
      <c r="K6" s="43" t="s">
        <v>5</v>
      </c>
      <c r="L6" s="43" t="s">
        <v>133</v>
      </c>
      <c r="M6" s="46" t="s">
        <v>134</v>
      </c>
      <c r="N6" s="45" t="s">
        <v>135</v>
      </c>
      <c r="O6" s="45" t="s">
        <v>141</v>
      </c>
      <c r="P6" s="44" t="s">
        <v>105</v>
      </c>
      <c r="Q6" s="45" t="s">
        <v>137</v>
      </c>
    </row>
    <row r="7" customFormat="false" ht="40.5" hidden="false" customHeight="true" outlineLevel="0" collapsed="false">
      <c r="A7" s="43" t="s">
        <v>151</v>
      </c>
      <c r="B7" s="44" t="s">
        <v>14</v>
      </c>
      <c r="C7" s="45" t="s">
        <v>126</v>
      </c>
      <c r="D7" s="44" t="s">
        <v>127</v>
      </c>
      <c r="E7" s="43" t="s">
        <v>152</v>
      </c>
      <c r="F7" s="45"/>
      <c r="G7" s="46" t="s">
        <v>153</v>
      </c>
      <c r="H7" s="46" t="s">
        <v>130</v>
      </c>
      <c r="I7" s="45" t="s">
        <v>131</v>
      </c>
      <c r="J7" s="46" t="s">
        <v>154</v>
      </c>
      <c r="K7" s="43" t="s">
        <v>5</v>
      </c>
      <c r="L7" s="43" t="s">
        <v>133</v>
      </c>
      <c r="M7" s="46" t="s">
        <v>134</v>
      </c>
      <c r="N7" s="45" t="s">
        <v>135</v>
      </c>
      <c r="O7" s="45" t="s">
        <v>141</v>
      </c>
      <c r="P7" s="44" t="s">
        <v>105</v>
      </c>
      <c r="Q7" s="45" t="s">
        <v>137</v>
      </c>
    </row>
    <row r="8" customFormat="false" ht="54" hidden="false" customHeight="true" outlineLevel="0" collapsed="false">
      <c r="A8" s="43" t="s">
        <v>155</v>
      </c>
      <c r="B8" s="44" t="s">
        <v>14</v>
      </c>
      <c r="C8" s="45" t="s">
        <v>156</v>
      </c>
      <c r="D8" s="44" t="s">
        <v>127</v>
      </c>
      <c r="E8" s="43" t="s">
        <v>152</v>
      </c>
      <c r="F8" s="47" t="s">
        <v>157</v>
      </c>
      <c r="G8" s="46" t="s">
        <v>158</v>
      </c>
      <c r="H8" s="46" t="s">
        <v>159</v>
      </c>
      <c r="I8" s="46" t="s">
        <v>160</v>
      </c>
      <c r="J8" s="46" t="s">
        <v>161</v>
      </c>
      <c r="K8" s="43" t="s">
        <v>4</v>
      </c>
      <c r="L8" s="43" t="s">
        <v>133</v>
      </c>
      <c r="M8" s="46" t="s">
        <v>162</v>
      </c>
      <c r="N8" s="45" t="s">
        <v>163</v>
      </c>
      <c r="O8" s="46" t="s">
        <v>164</v>
      </c>
      <c r="P8" s="48" t="s">
        <v>105</v>
      </c>
      <c r="Q8" s="49" t="s">
        <v>165</v>
      </c>
    </row>
    <row r="9" customFormat="false" ht="27" hidden="false" customHeight="true" outlineLevel="0" collapsed="false">
      <c r="A9" s="43" t="s">
        <v>166</v>
      </c>
      <c r="B9" s="44" t="s">
        <v>14</v>
      </c>
      <c r="C9" s="45" t="s">
        <v>156</v>
      </c>
      <c r="D9" s="44" t="s">
        <v>127</v>
      </c>
      <c r="E9" s="43" t="s">
        <v>128</v>
      </c>
      <c r="F9" s="45"/>
      <c r="G9" s="46" t="s">
        <v>167</v>
      </c>
      <c r="H9" s="46" t="s">
        <v>168</v>
      </c>
      <c r="I9" s="45" t="s">
        <v>169</v>
      </c>
      <c r="J9" s="46" t="s">
        <v>170</v>
      </c>
      <c r="K9" s="43" t="s">
        <v>4</v>
      </c>
      <c r="L9" s="43" t="s">
        <v>133</v>
      </c>
      <c r="M9" s="46" t="s">
        <v>171</v>
      </c>
      <c r="N9" s="45" t="s">
        <v>172</v>
      </c>
      <c r="O9" s="45"/>
      <c r="P9" s="44" t="s">
        <v>105</v>
      </c>
      <c r="Q9" s="45" t="s">
        <v>173</v>
      </c>
    </row>
    <row r="10" customFormat="false" ht="27" hidden="false" customHeight="true" outlineLevel="0" collapsed="false">
      <c r="A10" s="43" t="s">
        <v>174</v>
      </c>
      <c r="B10" s="44" t="s">
        <v>14</v>
      </c>
      <c r="C10" s="45" t="s">
        <v>175</v>
      </c>
      <c r="D10" s="44" t="s">
        <v>127</v>
      </c>
      <c r="E10" s="43" t="s">
        <v>128</v>
      </c>
      <c r="F10" s="47" t="s">
        <v>176</v>
      </c>
      <c r="G10" s="46" t="s">
        <v>177</v>
      </c>
      <c r="H10" s="46" t="s">
        <v>178</v>
      </c>
      <c r="I10" s="45" t="s">
        <v>179</v>
      </c>
      <c r="J10" s="45" t="s">
        <v>180</v>
      </c>
      <c r="K10" s="43" t="s">
        <v>5</v>
      </c>
      <c r="L10" s="43" t="s">
        <v>81</v>
      </c>
      <c r="M10" s="46" t="s">
        <v>181</v>
      </c>
      <c r="N10" s="45" t="s">
        <v>182</v>
      </c>
      <c r="O10" s="45" t="s">
        <v>183</v>
      </c>
      <c r="P10" s="44" t="s">
        <v>96</v>
      </c>
      <c r="Q10" s="45" t="s">
        <v>184</v>
      </c>
    </row>
    <row r="11" customFormat="false" ht="48.75" hidden="false" customHeight="true" outlineLevel="0" collapsed="false">
      <c r="A11" s="43" t="s">
        <v>185</v>
      </c>
      <c r="B11" s="44" t="s">
        <v>19</v>
      </c>
      <c r="C11" s="46" t="s">
        <v>186</v>
      </c>
      <c r="D11" s="44" t="s">
        <v>127</v>
      </c>
      <c r="E11" s="43" t="s">
        <v>128</v>
      </c>
      <c r="F11" s="47"/>
      <c r="G11" s="46" t="s">
        <v>187</v>
      </c>
      <c r="H11" s="46" t="s">
        <v>188</v>
      </c>
      <c r="I11" s="46" t="s">
        <v>189</v>
      </c>
      <c r="J11" s="46" t="s">
        <v>190</v>
      </c>
      <c r="K11" s="43" t="s">
        <v>4</v>
      </c>
      <c r="L11" s="43" t="s">
        <v>133</v>
      </c>
      <c r="M11" s="46" t="s">
        <v>191</v>
      </c>
      <c r="N11" s="45" t="s">
        <v>192</v>
      </c>
      <c r="O11" s="45"/>
      <c r="P11" s="44" t="s">
        <v>105</v>
      </c>
      <c r="Q11" s="45" t="s">
        <v>193</v>
      </c>
    </row>
    <row r="12" customFormat="false" ht="48.75" hidden="false" customHeight="true" outlineLevel="0" collapsed="false">
      <c r="A12" s="43" t="s">
        <v>194</v>
      </c>
      <c r="B12" s="44" t="s">
        <v>19</v>
      </c>
      <c r="C12" s="46" t="s">
        <v>186</v>
      </c>
      <c r="D12" s="44" t="s">
        <v>127</v>
      </c>
      <c r="E12" s="43" t="s">
        <v>128</v>
      </c>
      <c r="F12" s="47"/>
      <c r="G12" s="46" t="s">
        <v>195</v>
      </c>
      <c r="H12" s="46" t="s">
        <v>188</v>
      </c>
      <c r="I12" s="46" t="s">
        <v>189</v>
      </c>
      <c r="J12" s="46" t="s">
        <v>196</v>
      </c>
      <c r="K12" s="43" t="s">
        <v>4</v>
      </c>
      <c r="L12" s="43" t="s">
        <v>133</v>
      </c>
      <c r="M12" s="46" t="s">
        <v>191</v>
      </c>
      <c r="N12" s="45" t="s">
        <v>192</v>
      </c>
      <c r="O12" s="45"/>
      <c r="P12" s="44" t="s">
        <v>105</v>
      </c>
      <c r="Q12" s="45" t="s">
        <v>193</v>
      </c>
    </row>
    <row r="13" customFormat="false" ht="48.75" hidden="false" customHeight="true" outlineLevel="0" collapsed="false">
      <c r="A13" s="43" t="s">
        <v>197</v>
      </c>
      <c r="B13" s="44" t="s">
        <v>19</v>
      </c>
      <c r="C13" s="46" t="s">
        <v>186</v>
      </c>
      <c r="D13" s="44" t="s">
        <v>127</v>
      </c>
      <c r="E13" s="43" t="s">
        <v>152</v>
      </c>
      <c r="F13" s="47"/>
      <c r="G13" s="46" t="s">
        <v>198</v>
      </c>
      <c r="H13" s="46" t="s">
        <v>188</v>
      </c>
      <c r="I13" s="46" t="s">
        <v>189</v>
      </c>
      <c r="J13" s="46" t="s">
        <v>199</v>
      </c>
      <c r="K13" s="43" t="s">
        <v>5</v>
      </c>
      <c r="L13" s="43" t="s">
        <v>77</v>
      </c>
      <c r="M13" s="46" t="s">
        <v>191</v>
      </c>
      <c r="N13" s="45" t="s">
        <v>192</v>
      </c>
      <c r="O13" s="45"/>
      <c r="P13" s="44" t="s">
        <v>105</v>
      </c>
      <c r="Q13" s="45" t="s">
        <v>193</v>
      </c>
    </row>
    <row r="14" customFormat="false" ht="27" hidden="false" customHeight="true" outlineLevel="0" collapsed="false">
      <c r="A14" s="43" t="s">
        <v>200</v>
      </c>
      <c r="B14" s="44" t="s">
        <v>19</v>
      </c>
      <c r="C14" s="46" t="s">
        <v>201</v>
      </c>
      <c r="D14" s="44" t="s">
        <v>127</v>
      </c>
      <c r="E14" s="43" t="s">
        <v>152</v>
      </c>
      <c r="F14" s="47"/>
      <c r="G14" s="46" t="s">
        <v>202</v>
      </c>
      <c r="H14" s="46" t="s">
        <v>203</v>
      </c>
      <c r="I14" s="45" t="s">
        <v>204</v>
      </c>
      <c r="J14" s="45" t="s">
        <v>205</v>
      </c>
      <c r="K14" s="43" t="s">
        <v>5</v>
      </c>
      <c r="L14" s="43" t="s">
        <v>77</v>
      </c>
      <c r="M14" s="45" t="s">
        <v>206</v>
      </c>
      <c r="N14" s="45" t="s">
        <v>207</v>
      </c>
      <c r="O14" s="46" t="s">
        <v>208</v>
      </c>
      <c r="P14" s="48" t="s">
        <v>96</v>
      </c>
      <c r="Q14" s="49" t="s">
        <v>209</v>
      </c>
    </row>
    <row r="15" customFormat="false" ht="57" hidden="false" customHeight="true" outlineLevel="0" collapsed="false">
      <c r="A15" s="43" t="s">
        <v>210</v>
      </c>
      <c r="B15" s="44" t="s">
        <v>19</v>
      </c>
      <c r="C15" s="46" t="s">
        <v>211</v>
      </c>
      <c r="D15" s="44" t="s">
        <v>127</v>
      </c>
      <c r="E15" s="43" t="s">
        <v>128</v>
      </c>
      <c r="F15" s="47"/>
      <c r="G15" s="46" t="s">
        <v>187</v>
      </c>
      <c r="H15" s="46" t="s">
        <v>188</v>
      </c>
      <c r="I15" s="46" t="s">
        <v>189</v>
      </c>
      <c r="J15" s="46" t="s">
        <v>212</v>
      </c>
      <c r="K15" s="43" t="s">
        <v>4</v>
      </c>
      <c r="L15" s="43" t="s">
        <v>133</v>
      </c>
      <c r="M15" s="46" t="s">
        <v>191</v>
      </c>
      <c r="N15" s="45" t="s">
        <v>192</v>
      </c>
      <c r="O15" s="45"/>
      <c r="P15" s="44" t="s">
        <v>105</v>
      </c>
      <c r="Q15" s="45" t="s">
        <v>193</v>
      </c>
    </row>
    <row r="16" customFormat="false" ht="57" hidden="false" customHeight="true" outlineLevel="0" collapsed="false">
      <c r="A16" s="43" t="s">
        <v>213</v>
      </c>
      <c r="B16" s="44" t="s">
        <v>19</v>
      </c>
      <c r="C16" s="46" t="s">
        <v>211</v>
      </c>
      <c r="D16" s="44" t="s">
        <v>127</v>
      </c>
      <c r="E16" s="43" t="s">
        <v>128</v>
      </c>
      <c r="F16" s="47"/>
      <c r="G16" s="46" t="s">
        <v>195</v>
      </c>
      <c r="H16" s="46" t="s">
        <v>188</v>
      </c>
      <c r="I16" s="46" t="s">
        <v>189</v>
      </c>
      <c r="J16" s="46" t="s">
        <v>214</v>
      </c>
      <c r="K16" s="43" t="s">
        <v>4</v>
      </c>
      <c r="L16" s="43" t="s">
        <v>133</v>
      </c>
      <c r="M16" s="46" t="s">
        <v>191</v>
      </c>
      <c r="N16" s="45" t="s">
        <v>192</v>
      </c>
      <c r="O16" s="45"/>
      <c r="P16" s="44" t="s">
        <v>105</v>
      </c>
      <c r="Q16" s="45" t="s">
        <v>193</v>
      </c>
    </row>
    <row r="17" customFormat="false" ht="57" hidden="false" customHeight="true" outlineLevel="0" collapsed="false">
      <c r="A17" s="43" t="s">
        <v>215</v>
      </c>
      <c r="B17" s="44" t="s">
        <v>19</v>
      </c>
      <c r="C17" s="46" t="s">
        <v>211</v>
      </c>
      <c r="D17" s="44" t="s">
        <v>127</v>
      </c>
      <c r="E17" s="43" t="s">
        <v>152</v>
      </c>
      <c r="F17" s="47"/>
      <c r="G17" s="46" t="s">
        <v>198</v>
      </c>
      <c r="H17" s="46" t="s">
        <v>188</v>
      </c>
      <c r="I17" s="46" t="s">
        <v>189</v>
      </c>
      <c r="J17" s="46" t="s">
        <v>216</v>
      </c>
      <c r="K17" s="43" t="s">
        <v>4</v>
      </c>
      <c r="L17" s="43" t="s">
        <v>133</v>
      </c>
      <c r="M17" s="46" t="s">
        <v>191</v>
      </c>
      <c r="N17" s="45" t="s">
        <v>192</v>
      </c>
      <c r="O17" s="45"/>
      <c r="P17" s="44" t="s">
        <v>105</v>
      </c>
      <c r="Q17" s="45" t="s">
        <v>193</v>
      </c>
    </row>
    <row r="18" customFormat="false" ht="57" hidden="false" customHeight="true" outlineLevel="0" collapsed="false">
      <c r="A18" s="43" t="s">
        <v>217</v>
      </c>
      <c r="B18" s="44" t="s">
        <v>19</v>
      </c>
      <c r="C18" s="46" t="s">
        <v>211</v>
      </c>
      <c r="D18" s="44" t="s">
        <v>127</v>
      </c>
      <c r="E18" s="43" t="s">
        <v>152</v>
      </c>
      <c r="F18" s="47"/>
      <c r="G18" s="46" t="s">
        <v>218</v>
      </c>
      <c r="H18" s="46" t="s">
        <v>188</v>
      </c>
      <c r="I18" s="46" t="s">
        <v>189</v>
      </c>
      <c r="J18" s="46" t="s">
        <v>219</v>
      </c>
      <c r="K18" s="43" t="s">
        <v>4</v>
      </c>
      <c r="L18" s="43" t="s">
        <v>133</v>
      </c>
      <c r="M18" s="46" t="s">
        <v>191</v>
      </c>
      <c r="N18" s="45" t="s">
        <v>192</v>
      </c>
      <c r="O18" s="45"/>
      <c r="P18" s="44" t="s">
        <v>105</v>
      </c>
      <c r="Q18" s="45" t="s">
        <v>193</v>
      </c>
    </row>
    <row r="19" customFormat="false" ht="27" hidden="false" customHeight="true" outlineLevel="0" collapsed="false">
      <c r="A19" s="43" t="s">
        <v>220</v>
      </c>
      <c r="B19" s="44" t="s">
        <v>19</v>
      </c>
      <c r="C19" s="46" t="s">
        <v>221</v>
      </c>
      <c r="D19" s="44" t="s">
        <v>127</v>
      </c>
      <c r="E19" s="43" t="s">
        <v>152</v>
      </c>
      <c r="F19" s="47"/>
      <c r="G19" s="46" t="s">
        <v>222</v>
      </c>
      <c r="H19" s="46" t="s">
        <v>223</v>
      </c>
      <c r="I19" s="45" t="s">
        <v>224</v>
      </c>
      <c r="J19" s="45" t="s">
        <v>225</v>
      </c>
      <c r="K19" s="43" t="s">
        <v>4</v>
      </c>
      <c r="L19" s="43" t="s">
        <v>77</v>
      </c>
      <c r="M19" s="45" t="s">
        <v>226</v>
      </c>
      <c r="N19" s="45" t="s">
        <v>227</v>
      </c>
      <c r="O19" s="46" t="s">
        <v>228</v>
      </c>
      <c r="P19" s="48" t="s">
        <v>105</v>
      </c>
      <c r="Q19" s="49" t="s">
        <v>229</v>
      </c>
    </row>
    <row r="20" customFormat="false" ht="27" hidden="false" customHeight="true" outlineLevel="0" collapsed="false">
      <c r="A20" s="43" t="s">
        <v>230</v>
      </c>
      <c r="B20" s="44" t="s">
        <v>19</v>
      </c>
      <c r="C20" s="46" t="s">
        <v>231</v>
      </c>
      <c r="D20" s="44" t="s">
        <v>232</v>
      </c>
      <c r="E20" s="43" t="s">
        <v>152</v>
      </c>
      <c r="F20" s="46"/>
      <c r="G20" s="45" t="s">
        <v>233</v>
      </c>
      <c r="H20" s="46" t="s">
        <v>234</v>
      </c>
      <c r="I20" s="45" t="s">
        <v>235</v>
      </c>
      <c r="J20" s="46" t="s">
        <v>236</v>
      </c>
      <c r="K20" s="43" t="s">
        <v>4</v>
      </c>
      <c r="L20" s="43" t="s">
        <v>133</v>
      </c>
      <c r="M20" s="46" t="s">
        <v>237</v>
      </c>
      <c r="N20" s="45" t="s">
        <v>238</v>
      </c>
      <c r="O20" s="45"/>
      <c r="P20" s="44" t="s">
        <v>83</v>
      </c>
      <c r="Q20" s="45" t="s">
        <v>239</v>
      </c>
    </row>
    <row r="21" customFormat="false" ht="41.25" hidden="false" customHeight="true" outlineLevel="0" collapsed="false">
      <c r="A21" s="43" t="s">
        <v>240</v>
      </c>
      <c r="B21" s="44" t="s">
        <v>19</v>
      </c>
      <c r="C21" s="46" t="s">
        <v>241</v>
      </c>
      <c r="D21" s="44" t="s">
        <v>232</v>
      </c>
      <c r="E21" s="43" t="s">
        <v>152</v>
      </c>
      <c r="F21" s="46"/>
      <c r="G21" s="45" t="s">
        <v>233</v>
      </c>
      <c r="H21" s="46" t="s">
        <v>242</v>
      </c>
      <c r="I21" s="46" t="s">
        <v>243</v>
      </c>
      <c r="J21" s="45" t="s">
        <v>244</v>
      </c>
      <c r="K21" s="43" t="s">
        <v>4</v>
      </c>
      <c r="L21" s="43" t="s">
        <v>133</v>
      </c>
      <c r="M21" s="46" t="s">
        <v>237</v>
      </c>
      <c r="N21" s="45" t="s">
        <v>245</v>
      </c>
      <c r="O21" s="45"/>
      <c r="P21" s="44" t="s">
        <v>83</v>
      </c>
      <c r="Q21" s="45" t="s">
        <v>239</v>
      </c>
    </row>
    <row r="22" customFormat="false" ht="27" hidden="false" customHeight="true" outlineLevel="0" collapsed="false">
      <c r="A22" s="43" t="s">
        <v>246</v>
      </c>
      <c r="B22" s="44" t="s">
        <v>19</v>
      </c>
      <c r="C22" s="46" t="s">
        <v>247</v>
      </c>
      <c r="D22" s="44" t="s">
        <v>232</v>
      </c>
      <c r="E22" s="43" t="s">
        <v>152</v>
      </c>
      <c r="F22" s="46"/>
      <c r="G22" s="45" t="s">
        <v>233</v>
      </c>
      <c r="H22" s="46" t="s">
        <v>248</v>
      </c>
      <c r="I22" s="45" t="s">
        <v>249</v>
      </c>
      <c r="J22" s="46" t="s">
        <v>250</v>
      </c>
      <c r="K22" s="43" t="s">
        <v>4</v>
      </c>
      <c r="L22" s="43" t="s">
        <v>133</v>
      </c>
      <c r="M22" s="46" t="s">
        <v>237</v>
      </c>
      <c r="N22" s="45" t="s">
        <v>245</v>
      </c>
      <c r="O22" s="45"/>
      <c r="P22" s="44" t="s">
        <v>83</v>
      </c>
      <c r="Q22" s="45" t="s">
        <v>239</v>
      </c>
    </row>
    <row r="23" customFormat="false" ht="27" hidden="false" customHeight="true" outlineLevel="0" collapsed="false">
      <c r="A23" s="43" t="s">
        <v>251</v>
      </c>
      <c r="B23" s="44" t="s">
        <v>19</v>
      </c>
      <c r="C23" s="46" t="s">
        <v>252</v>
      </c>
      <c r="D23" s="44" t="s">
        <v>232</v>
      </c>
      <c r="E23" s="43" t="s">
        <v>128</v>
      </c>
      <c r="F23" s="46"/>
      <c r="G23" s="45" t="s">
        <v>233</v>
      </c>
      <c r="H23" s="46" t="s">
        <v>253</v>
      </c>
      <c r="I23" s="45" t="s">
        <v>254</v>
      </c>
      <c r="J23" s="45" t="s">
        <v>255</v>
      </c>
      <c r="K23" s="44" t="s">
        <v>4</v>
      </c>
      <c r="L23" s="43" t="s">
        <v>133</v>
      </c>
      <c r="M23" s="46" t="s">
        <v>256</v>
      </c>
      <c r="N23" s="45" t="s">
        <v>245</v>
      </c>
      <c r="O23" s="45"/>
      <c r="P23" s="44" t="s">
        <v>83</v>
      </c>
      <c r="Q23" s="45" t="s">
        <v>257</v>
      </c>
    </row>
    <row r="24" customFormat="false" ht="40.5" hidden="false" customHeight="true" outlineLevel="0" collapsed="false">
      <c r="A24" s="43" t="s">
        <v>258</v>
      </c>
      <c r="B24" s="44" t="s">
        <v>19</v>
      </c>
      <c r="C24" s="45" t="s">
        <v>259</v>
      </c>
      <c r="D24" s="44" t="s">
        <v>260</v>
      </c>
      <c r="E24" s="43" t="s">
        <v>128</v>
      </c>
      <c r="F24" s="47"/>
      <c r="G24" s="46" t="s">
        <v>261</v>
      </c>
      <c r="H24" s="46" t="s">
        <v>262</v>
      </c>
      <c r="I24" s="45" t="s">
        <v>263</v>
      </c>
      <c r="J24" s="45" t="s">
        <v>264</v>
      </c>
      <c r="K24" s="44" t="s">
        <v>4</v>
      </c>
      <c r="L24" s="43" t="s">
        <v>84</v>
      </c>
      <c r="M24" s="46" t="s">
        <v>256</v>
      </c>
      <c r="N24" s="45" t="s">
        <v>265</v>
      </c>
      <c r="O24" s="45" t="s">
        <v>266</v>
      </c>
      <c r="P24" s="44" t="s">
        <v>83</v>
      </c>
      <c r="Q24" s="45" t="s">
        <v>267</v>
      </c>
    </row>
    <row r="25" customFormat="false" ht="54" hidden="false" customHeight="true" outlineLevel="0" collapsed="false">
      <c r="A25" s="43" t="s">
        <v>268</v>
      </c>
      <c r="B25" s="44" t="s">
        <v>19</v>
      </c>
      <c r="C25" s="45" t="s">
        <v>269</v>
      </c>
      <c r="D25" s="44" t="s">
        <v>270</v>
      </c>
      <c r="E25" s="43" t="s">
        <v>271</v>
      </c>
      <c r="F25" s="46" t="s">
        <v>272</v>
      </c>
      <c r="G25" s="46" t="s">
        <v>133</v>
      </c>
      <c r="H25" s="46" t="s">
        <v>273</v>
      </c>
      <c r="I25" s="46" t="s">
        <v>274</v>
      </c>
      <c r="J25" s="46" t="s">
        <v>275</v>
      </c>
      <c r="K25" s="43" t="s">
        <v>4</v>
      </c>
      <c r="L25" s="43" t="s">
        <v>133</v>
      </c>
      <c r="M25" s="46" t="s">
        <v>276</v>
      </c>
      <c r="N25" s="45" t="s">
        <v>277</v>
      </c>
      <c r="O25" s="46" t="s">
        <v>278</v>
      </c>
      <c r="P25" s="48" t="s">
        <v>83</v>
      </c>
      <c r="Q25" s="49" t="s">
        <v>279</v>
      </c>
    </row>
    <row r="26" customFormat="false" ht="34.5" hidden="false" customHeight="true" outlineLevel="0" collapsed="false">
      <c r="A26" s="43" t="s">
        <v>280</v>
      </c>
      <c r="B26" s="44" t="s">
        <v>24</v>
      </c>
      <c r="C26" s="45" t="s">
        <v>281</v>
      </c>
      <c r="D26" s="44" t="s">
        <v>282</v>
      </c>
      <c r="E26" s="43" t="s">
        <v>152</v>
      </c>
      <c r="F26" s="45"/>
      <c r="G26" s="45" t="s">
        <v>283</v>
      </c>
      <c r="H26" s="46" t="s">
        <v>284</v>
      </c>
      <c r="I26" s="46" t="s">
        <v>285</v>
      </c>
      <c r="J26" s="46" t="s">
        <v>286</v>
      </c>
      <c r="K26" s="43" t="s">
        <v>4</v>
      </c>
      <c r="L26" s="43" t="s">
        <v>133</v>
      </c>
      <c r="M26" s="46" t="s">
        <v>287</v>
      </c>
      <c r="N26" s="46" t="s">
        <v>288</v>
      </c>
      <c r="O26" s="45" t="s">
        <v>289</v>
      </c>
      <c r="P26" s="44" t="s">
        <v>83</v>
      </c>
      <c r="Q26" s="45" t="s">
        <v>290</v>
      </c>
    </row>
    <row r="27" customFormat="false" ht="34.5" hidden="false" customHeight="true" outlineLevel="0" collapsed="false">
      <c r="A27" s="43" t="s">
        <v>291</v>
      </c>
      <c r="B27" s="44" t="s">
        <v>24</v>
      </c>
      <c r="C27" s="45" t="s">
        <v>292</v>
      </c>
      <c r="D27" s="44" t="s">
        <v>293</v>
      </c>
      <c r="E27" s="43" t="s">
        <v>152</v>
      </c>
      <c r="F27" s="45"/>
      <c r="G27" s="45" t="s">
        <v>294</v>
      </c>
      <c r="H27" s="46" t="s">
        <v>295</v>
      </c>
      <c r="I27" s="46" t="s">
        <v>296</v>
      </c>
      <c r="J27" s="45" t="s">
        <v>297</v>
      </c>
      <c r="K27" s="43" t="s">
        <v>4</v>
      </c>
      <c r="L27" s="43" t="s">
        <v>133</v>
      </c>
      <c r="M27" s="46" t="s">
        <v>298</v>
      </c>
      <c r="N27" s="45" t="s">
        <v>299</v>
      </c>
      <c r="O27" s="45"/>
      <c r="P27" s="44" t="s">
        <v>83</v>
      </c>
      <c r="Q27" s="45" t="s">
        <v>300</v>
      </c>
    </row>
    <row r="28" customFormat="false" ht="40.5" hidden="false" customHeight="true" outlineLevel="0" collapsed="false">
      <c r="A28" s="43" t="s">
        <v>301</v>
      </c>
      <c r="B28" s="44" t="s">
        <v>24</v>
      </c>
      <c r="C28" s="45" t="s">
        <v>302</v>
      </c>
      <c r="D28" s="44" t="s">
        <v>293</v>
      </c>
      <c r="E28" s="43" t="s">
        <v>152</v>
      </c>
      <c r="F28" s="45"/>
      <c r="G28" s="45" t="s">
        <v>303</v>
      </c>
      <c r="H28" s="46" t="s">
        <v>304</v>
      </c>
      <c r="I28" s="46" t="s">
        <v>305</v>
      </c>
      <c r="J28" s="45" t="s">
        <v>297</v>
      </c>
      <c r="K28" s="43" t="s">
        <v>4</v>
      </c>
      <c r="L28" s="43" t="s">
        <v>133</v>
      </c>
      <c r="M28" s="46" t="s">
        <v>306</v>
      </c>
      <c r="N28" s="45" t="s">
        <v>299</v>
      </c>
      <c r="O28" s="45"/>
      <c r="P28" s="44" t="s">
        <v>83</v>
      </c>
      <c r="Q28" s="45" t="s">
        <v>307</v>
      </c>
    </row>
    <row r="29" customFormat="false" ht="36" hidden="false" customHeight="true" outlineLevel="0" collapsed="false">
      <c r="A29" s="43" t="s">
        <v>308</v>
      </c>
      <c r="B29" s="44" t="s">
        <v>24</v>
      </c>
      <c r="C29" s="45" t="s">
        <v>309</v>
      </c>
      <c r="D29" s="44" t="s">
        <v>293</v>
      </c>
      <c r="E29" s="43" t="s">
        <v>128</v>
      </c>
      <c r="F29" s="45"/>
      <c r="G29" s="45" t="s">
        <v>310</v>
      </c>
      <c r="H29" s="46" t="s">
        <v>311</v>
      </c>
      <c r="I29" s="46" t="s">
        <v>312</v>
      </c>
      <c r="J29" s="45" t="s">
        <v>313</v>
      </c>
      <c r="K29" s="44" t="s">
        <v>4</v>
      </c>
      <c r="L29" s="43" t="s">
        <v>133</v>
      </c>
      <c r="M29" s="46" t="s">
        <v>314</v>
      </c>
      <c r="N29" s="46" t="s">
        <v>288</v>
      </c>
      <c r="O29" s="45"/>
      <c r="P29" s="44" t="s">
        <v>83</v>
      </c>
      <c r="Q29" s="45" t="s">
        <v>315</v>
      </c>
    </row>
    <row r="30" customFormat="false" ht="36" hidden="false" customHeight="true" outlineLevel="0" collapsed="false">
      <c r="A30" s="43" t="s">
        <v>316</v>
      </c>
      <c r="B30" s="44" t="s">
        <v>24</v>
      </c>
      <c r="C30" s="45" t="s">
        <v>317</v>
      </c>
      <c r="D30" s="44" t="s">
        <v>293</v>
      </c>
      <c r="E30" s="43" t="s">
        <v>128</v>
      </c>
      <c r="F30" s="45"/>
      <c r="G30" s="45" t="s">
        <v>318</v>
      </c>
      <c r="H30" s="46" t="s">
        <v>311</v>
      </c>
      <c r="I30" s="46" t="s">
        <v>319</v>
      </c>
      <c r="J30" s="45" t="s">
        <v>320</v>
      </c>
      <c r="K30" s="44" t="s">
        <v>4</v>
      </c>
      <c r="L30" s="43" t="s">
        <v>133</v>
      </c>
      <c r="M30" s="46" t="s">
        <v>314</v>
      </c>
      <c r="N30" s="46" t="s">
        <v>288</v>
      </c>
      <c r="O30" s="45"/>
      <c r="P30" s="44" t="s">
        <v>83</v>
      </c>
      <c r="Q30" s="45" t="s">
        <v>321</v>
      </c>
    </row>
    <row r="31" customFormat="false" ht="36" hidden="false" customHeight="true" outlineLevel="0" collapsed="false">
      <c r="A31" s="43" t="s">
        <v>322</v>
      </c>
      <c r="B31" s="44" t="s">
        <v>24</v>
      </c>
      <c r="C31" s="45" t="s">
        <v>323</v>
      </c>
      <c r="D31" s="44" t="s">
        <v>282</v>
      </c>
      <c r="E31" s="43" t="s">
        <v>128</v>
      </c>
      <c r="F31" s="45"/>
      <c r="G31" s="45" t="s">
        <v>283</v>
      </c>
      <c r="H31" s="46" t="s">
        <v>311</v>
      </c>
      <c r="I31" s="46" t="s">
        <v>285</v>
      </c>
      <c r="J31" s="45" t="s">
        <v>324</v>
      </c>
      <c r="K31" s="44" t="s">
        <v>4</v>
      </c>
      <c r="L31" s="43" t="s">
        <v>133</v>
      </c>
      <c r="M31" s="46" t="s">
        <v>314</v>
      </c>
      <c r="N31" s="46" t="s">
        <v>288</v>
      </c>
      <c r="O31" s="45"/>
      <c r="P31" s="44" t="s">
        <v>83</v>
      </c>
      <c r="Q31" s="45" t="s">
        <v>325</v>
      </c>
    </row>
    <row r="32" customFormat="false" ht="36" hidden="false" customHeight="true" outlineLevel="0" collapsed="false">
      <c r="A32" s="43" t="s">
        <v>326</v>
      </c>
      <c r="B32" s="44" t="s">
        <v>24</v>
      </c>
      <c r="C32" s="45" t="s">
        <v>327</v>
      </c>
      <c r="D32" s="44" t="s">
        <v>282</v>
      </c>
      <c r="E32" s="43" t="s">
        <v>152</v>
      </c>
      <c r="F32" s="45"/>
      <c r="G32" s="45" t="s">
        <v>328</v>
      </c>
      <c r="H32" s="46" t="s">
        <v>311</v>
      </c>
      <c r="I32" s="46" t="s">
        <v>329</v>
      </c>
      <c r="J32" s="45" t="s">
        <v>330</v>
      </c>
      <c r="K32" s="44" t="s">
        <v>4</v>
      </c>
      <c r="L32" s="43" t="s">
        <v>133</v>
      </c>
      <c r="M32" s="46" t="s">
        <v>314</v>
      </c>
      <c r="N32" s="46" t="s">
        <v>288</v>
      </c>
      <c r="O32" s="45"/>
      <c r="P32" s="44" t="s">
        <v>83</v>
      </c>
      <c r="Q32" s="45" t="s">
        <v>331</v>
      </c>
    </row>
    <row r="33" customFormat="false" ht="36" hidden="false" customHeight="true" outlineLevel="0" collapsed="false">
      <c r="A33" s="43" t="s">
        <v>332</v>
      </c>
      <c r="B33" s="44" t="s">
        <v>24</v>
      </c>
      <c r="C33" s="45" t="s">
        <v>333</v>
      </c>
      <c r="D33" s="44" t="s">
        <v>33</v>
      </c>
      <c r="E33" s="43" t="s">
        <v>152</v>
      </c>
      <c r="F33" s="45"/>
      <c r="G33" s="46" t="s">
        <v>334</v>
      </c>
      <c r="H33" s="46" t="s">
        <v>311</v>
      </c>
      <c r="I33" s="45" t="s">
        <v>335</v>
      </c>
      <c r="J33" s="45" t="s">
        <v>336</v>
      </c>
      <c r="K33" s="44" t="s">
        <v>4</v>
      </c>
      <c r="L33" s="43" t="s">
        <v>133</v>
      </c>
      <c r="M33" s="46" t="s">
        <v>314</v>
      </c>
      <c r="N33" s="46" t="s">
        <v>288</v>
      </c>
      <c r="O33" s="45"/>
      <c r="P33" s="44" t="s">
        <v>98</v>
      </c>
      <c r="Q33" s="45" t="s">
        <v>337</v>
      </c>
    </row>
    <row r="34" customFormat="false" ht="36" hidden="false" customHeight="true" outlineLevel="0" collapsed="false">
      <c r="A34" s="43" t="s">
        <v>338</v>
      </c>
      <c r="B34" s="44" t="s">
        <v>24</v>
      </c>
      <c r="C34" s="45" t="s">
        <v>339</v>
      </c>
      <c r="D34" s="44" t="s">
        <v>340</v>
      </c>
      <c r="E34" s="43" t="s">
        <v>128</v>
      </c>
      <c r="F34" s="45"/>
      <c r="G34" s="45" t="s">
        <v>341</v>
      </c>
      <c r="H34" s="46" t="s">
        <v>311</v>
      </c>
      <c r="I34" s="45" t="s">
        <v>342</v>
      </c>
      <c r="J34" s="45" t="s">
        <v>343</v>
      </c>
      <c r="K34" s="44" t="s">
        <v>4</v>
      </c>
      <c r="L34" s="43" t="s">
        <v>133</v>
      </c>
      <c r="M34" s="46" t="s">
        <v>314</v>
      </c>
      <c r="N34" s="46" t="s">
        <v>288</v>
      </c>
      <c r="O34" s="45" t="s">
        <v>344</v>
      </c>
      <c r="P34" s="44" t="s">
        <v>98</v>
      </c>
      <c r="Q34" s="45" t="s">
        <v>345</v>
      </c>
    </row>
    <row r="35" customFormat="false" ht="51.75" hidden="false" customHeight="true" outlineLevel="0" collapsed="false">
      <c r="A35" s="43" t="s">
        <v>346</v>
      </c>
      <c r="B35" s="44" t="s">
        <v>24</v>
      </c>
      <c r="C35" s="45" t="s">
        <v>347</v>
      </c>
      <c r="D35" s="44" t="s">
        <v>33</v>
      </c>
      <c r="E35" s="43" t="s">
        <v>128</v>
      </c>
      <c r="F35" s="45"/>
      <c r="G35" s="46" t="s">
        <v>133</v>
      </c>
      <c r="H35" s="46" t="s">
        <v>348</v>
      </c>
      <c r="I35" s="45" t="s">
        <v>349</v>
      </c>
      <c r="J35" s="45" t="s">
        <v>350</v>
      </c>
      <c r="K35" s="43" t="s">
        <v>4</v>
      </c>
      <c r="L35" s="43" t="s">
        <v>133</v>
      </c>
      <c r="M35" s="45" t="s">
        <v>351</v>
      </c>
      <c r="N35" s="45" t="s">
        <v>352</v>
      </c>
      <c r="O35" s="45"/>
      <c r="P35" s="44" t="s">
        <v>98</v>
      </c>
      <c r="Q35" s="45" t="s">
        <v>353</v>
      </c>
    </row>
    <row r="36" customFormat="false" ht="54.75" hidden="false" customHeight="true" outlineLevel="0" collapsed="false">
      <c r="A36" s="43" t="s">
        <v>354</v>
      </c>
      <c r="B36" s="44" t="s">
        <v>24</v>
      </c>
      <c r="C36" s="45" t="s">
        <v>355</v>
      </c>
      <c r="D36" s="44" t="s">
        <v>232</v>
      </c>
      <c r="E36" s="43" t="s">
        <v>128</v>
      </c>
      <c r="F36" s="45" t="s">
        <v>356</v>
      </c>
      <c r="G36" s="46" t="s">
        <v>133</v>
      </c>
      <c r="H36" s="46" t="s">
        <v>357</v>
      </c>
      <c r="I36" s="46" t="s">
        <v>358</v>
      </c>
      <c r="J36" s="46" t="s">
        <v>358</v>
      </c>
      <c r="K36" s="43" t="s">
        <v>4</v>
      </c>
      <c r="L36" s="43" t="s">
        <v>133</v>
      </c>
      <c r="M36" s="45" t="s">
        <v>359</v>
      </c>
      <c r="N36" s="45" t="s">
        <v>352</v>
      </c>
      <c r="O36" s="45"/>
      <c r="P36" s="44" t="s">
        <v>83</v>
      </c>
      <c r="Q36" s="45" t="s">
        <v>360</v>
      </c>
    </row>
    <row r="37" customFormat="false" ht="27" hidden="false" customHeight="true" outlineLevel="0" collapsed="false">
      <c r="A37" s="43" t="s">
        <v>361</v>
      </c>
      <c r="B37" s="44" t="s">
        <v>24</v>
      </c>
      <c r="C37" s="45" t="s">
        <v>362</v>
      </c>
      <c r="D37" s="44" t="s">
        <v>232</v>
      </c>
      <c r="E37" s="43" t="s">
        <v>128</v>
      </c>
      <c r="F37" s="46" t="s">
        <v>363</v>
      </c>
      <c r="G37" s="46" t="s">
        <v>133</v>
      </c>
      <c r="H37" s="46" t="s">
        <v>364</v>
      </c>
      <c r="I37" s="46" t="s">
        <v>365</v>
      </c>
      <c r="J37" s="46" t="s">
        <v>366</v>
      </c>
      <c r="K37" s="43" t="s">
        <v>4</v>
      </c>
      <c r="L37" s="43" t="s">
        <v>133</v>
      </c>
      <c r="M37" s="45" t="s">
        <v>359</v>
      </c>
      <c r="N37" s="45" t="s">
        <v>352</v>
      </c>
      <c r="O37" s="45"/>
      <c r="P37" s="44" t="s">
        <v>83</v>
      </c>
      <c r="Q37" s="45" t="s">
        <v>360</v>
      </c>
    </row>
    <row r="38" customFormat="false" ht="40.5" hidden="false" customHeight="true" outlineLevel="0" collapsed="false">
      <c r="A38" s="43" t="s">
        <v>367</v>
      </c>
      <c r="B38" s="44" t="s">
        <v>29</v>
      </c>
      <c r="C38" s="45" t="s">
        <v>281</v>
      </c>
      <c r="D38" s="44" t="s">
        <v>282</v>
      </c>
      <c r="E38" s="43" t="s">
        <v>152</v>
      </c>
      <c r="F38" s="45"/>
      <c r="G38" s="46" t="s">
        <v>368</v>
      </c>
      <c r="H38" s="46" t="s">
        <v>369</v>
      </c>
      <c r="I38" s="46" t="s">
        <v>370</v>
      </c>
      <c r="J38" s="46" t="s">
        <v>371</v>
      </c>
      <c r="K38" s="43" t="s">
        <v>4</v>
      </c>
      <c r="L38" s="43" t="s">
        <v>133</v>
      </c>
      <c r="M38" s="46" t="s">
        <v>372</v>
      </c>
      <c r="N38" s="45" t="s">
        <v>373</v>
      </c>
      <c r="O38" s="45"/>
      <c r="P38" s="44" t="s">
        <v>83</v>
      </c>
      <c r="Q38" s="45" t="s">
        <v>374</v>
      </c>
    </row>
    <row r="39" customFormat="false" ht="40.5" hidden="false" customHeight="true" outlineLevel="0" collapsed="false">
      <c r="A39" s="43" t="s">
        <v>375</v>
      </c>
      <c r="B39" s="44" t="s">
        <v>29</v>
      </c>
      <c r="C39" s="45" t="s">
        <v>376</v>
      </c>
      <c r="D39" s="44" t="s">
        <v>377</v>
      </c>
      <c r="E39" s="43" t="s">
        <v>152</v>
      </c>
      <c r="F39" s="45"/>
      <c r="G39" s="45" t="s">
        <v>378</v>
      </c>
      <c r="H39" s="46" t="s">
        <v>379</v>
      </c>
      <c r="I39" s="45" t="s">
        <v>380</v>
      </c>
      <c r="J39" s="45" t="s">
        <v>381</v>
      </c>
      <c r="K39" s="43" t="s">
        <v>4</v>
      </c>
      <c r="L39" s="43" t="s">
        <v>57</v>
      </c>
      <c r="M39" s="46" t="s">
        <v>372</v>
      </c>
      <c r="N39" s="45" t="s">
        <v>382</v>
      </c>
      <c r="O39" s="45" t="s">
        <v>383</v>
      </c>
      <c r="P39" s="44" t="s">
        <v>98</v>
      </c>
      <c r="Q39" s="45" t="s">
        <v>384</v>
      </c>
    </row>
    <row r="40" customFormat="false" ht="40.5" hidden="false" customHeight="true" outlineLevel="0" collapsed="false">
      <c r="A40" s="43" t="s">
        <v>385</v>
      </c>
      <c r="B40" s="44" t="s">
        <v>29</v>
      </c>
      <c r="C40" s="45" t="s">
        <v>302</v>
      </c>
      <c r="D40" s="44" t="s">
        <v>293</v>
      </c>
      <c r="E40" s="43" t="s">
        <v>152</v>
      </c>
      <c r="F40" s="45"/>
      <c r="G40" s="45" t="s">
        <v>386</v>
      </c>
      <c r="H40" s="46" t="s">
        <v>387</v>
      </c>
      <c r="I40" s="46" t="s">
        <v>388</v>
      </c>
      <c r="J40" s="45" t="s">
        <v>389</v>
      </c>
      <c r="K40" s="43" t="s">
        <v>4</v>
      </c>
      <c r="L40" s="43" t="s">
        <v>133</v>
      </c>
      <c r="M40" s="46" t="s">
        <v>372</v>
      </c>
      <c r="N40" s="45" t="s">
        <v>373</v>
      </c>
      <c r="O40" s="45"/>
      <c r="P40" s="44" t="s">
        <v>83</v>
      </c>
      <c r="Q40" s="45" t="s">
        <v>374</v>
      </c>
    </row>
    <row r="41" customFormat="false" ht="27" hidden="false" customHeight="true" outlineLevel="0" collapsed="false">
      <c r="A41" s="43" t="s">
        <v>390</v>
      </c>
      <c r="B41" s="44" t="s">
        <v>29</v>
      </c>
      <c r="C41" s="45" t="s">
        <v>292</v>
      </c>
      <c r="D41" s="44" t="s">
        <v>293</v>
      </c>
      <c r="E41" s="43" t="s">
        <v>128</v>
      </c>
      <c r="F41" s="45"/>
      <c r="G41" s="45" t="s">
        <v>391</v>
      </c>
      <c r="H41" s="46" t="s">
        <v>387</v>
      </c>
      <c r="I41" s="46" t="s">
        <v>392</v>
      </c>
      <c r="J41" s="45" t="s">
        <v>393</v>
      </c>
      <c r="K41" s="44" t="s">
        <v>4</v>
      </c>
      <c r="L41" s="43" t="s">
        <v>133</v>
      </c>
      <c r="M41" s="46" t="s">
        <v>372</v>
      </c>
      <c r="N41" s="45" t="s">
        <v>373</v>
      </c>
      <c r="O41" s="45" t="s">
        <v>394</v>
      </c>
      <c r="P41" s="44" t="s">
        <v>83</v>
      </c>
      <c r="Q41" s="45" t="s">
        <v>374</v>
      </c>
    </row>
    <row r="42" customFormat="false" ht="40.5" hidden="false" customHeight="true" outlineLevel="0" collapsed="false">
      <c r="A42" s="43" t="s">
        <v>395</v>
      </c>
      <c r="B42" s="44" t="s">
        <v>33</v>
      </c>
      <c r="C42" s="45" t="s">
        <v>396</v>
      </c>
      <c r="D42" s="44" t="s">
        <v>33</v>
      </c>
      <c r="E42" s="43" t="s">
        <v>152</v>
      </c>
      <c r="F42" s="45"/>
      <c r="G42" s="45" t="s">
        <v>397</v>
      </c>
      <c r="H42" s="46" t="s">
        <v>398</v>
      </c>
      <c r="I42" s="46" t="s">
        <v>399</v>
      </c>
      <c r="J42" s="46" t="s">
        <v>400</v>
      </c>
      <c r="K42" s="43" t="s">
        <v>4</v>
      </c>
      <c r="L42" s="43" t="s">
        <v>133</v>
      </c>
      <c r="M42" s="46" t="s">
        <v>401</v>
      </c>
      <c r="N42" s="45" t="s">
        <v>402</v>
      </c>
      <c r="O42" s="45"/>
      <c r="P42" s="44" t="s">
        <v>98</v>
      </c>
      <c r="Q42" s="45" t="s">
        <v>403</v>
      </c>
    </row>
    <row r="43" customFormat="false" ht="27" hidden="false" customHeight="true" outlineLevel="0" collapsed="false">
      <c r="A43" s="43" t="s">
        <v>404</v>
      </c>
      <c r="B43" s="44" t="s">
        <v>33</v>
      </c>
      <c r="C43" s="45" t="s">
        <v>405</v>
      </c>
      <c r="D43" s="44" t="s">
        <v>377</v>
      </c>
      <c r="E43" s="43" t="s">
        <v>128</v>
      </c>
      <c r="F43" s="45"/>
      <c r="G43" s="45" t="s">
        <v>378</v>
      </c>
      <c r="H43" s="46" t="s">
        <v>406</v>
      </c>
      <c r="I43" s="45" t="s">
        <v>407</v>
      </c>
      <c r="J43" s="46" t="s">
        <v>408</v>
      </c>
      <c r="K43" s="43" t="s">
        <v>4</v>
      </c>
      <c r="L43" s="43" t="s">
        <v>57</v>
      </c>
      <c r="M43" s="45" t="s">
        <v>351</v>
      </c>
      <c r="N43" s="45" t="s">
        <v>409</v>
      </c>
      <c r="O43" s="45"/>
      <c r="P43" s="44" t="s">
        <v>98</v>
      </c>
      <c r="Q43" s="45" t="s">
        <v>410</v>
      </c>
    </row>
    <row r="44" customFormat="false" ht="54" hidden="false" customHeight="true" outlineLevel="0" collapsed="false">
      <c r="A44" s="43" t="s">
        <v>411</v>
      </c>
      <c r="B44" s="44" t="s">
        <v>37</v>
      </c>
      <c r="C44" s="45" t="s">
        <v>412</v>
      </c>
      <c r="D44" s="44" t="s">
        <v>282</v>
      </c>
      <c r="E44" s="43" t="s">
        <v>152</v>
      </c>
      <c r="F44" s="45"/>
      <c r="G44" s="45" t="s">
        <v>413</v>
      </c>
      <c r="H44" s="46" t="s">
        <v>414</v>
      </c>
      <c r="I44" s="46" t="s">
        <v>415</v>
      </c>
      <c r="J44" s="45" t="s">
        <v>389</v>
      </c>
      <c r="K44" s="43" t="s">
        <v>4</v>
      </c>
      <c r="L44" s="43" t="s">
        <v>133</v>
      </c>
      <c r="M44" s="46" t="s">
        <v>416</v>
      </c>
      <c r="N44" s="45" t="s">
        <v>299</v>
      </c>
      <c r="O44" s="45" t="s">
        <v>417</v>
      </c>
      <c r="P44" s="44" t="s">
        <v>83</v>
      </c>
      <c r="Q44" s="45" t="s">
        <v>418</v>
      </c>
    </row>
    <row r="45" customFormat="false" ht="27" hidden="false" customHeight="true" outlineLevel="0" collapsed="false">
      <c r="A45" s="43" t="s">
        <v>419</v>
      </c>
      <c r="B45" s="44" t="s">
        <v>41</v>
      </c>
      <c r="C45" s="45" t="s">
        <v>420</v>
      </c>
      <c r="D45" s="44" t="s">
        <v>282</v>
      </c>
      <c r="E45" s="43" t="s">
        <v>152</v>
      </c>
      <c r="F45" s="45"/>
      <c r="G45" s="45" t="s">
        <v>421</v>
      </c>
      <c r="H45" s="46" t="s">
        <v>422</v>
      </c>
      <c r="I45" s="46" t="s">
        <v>423</v>
      </c>
      <c r="J45" s="45" t="s">
        <v>424</v>
      </c>
      <c r="K45" s="44" t="s">
        <v>4</v>
      </c>
      <c r="L45" s="43" t="s">
        <v>133</v>
      </c>
      <c r="M45" s="46" t="s">
        <v>425</v>
      </c>
      <c r="N45" s="45" t="s">
        <v>426</v>
      </c>
      <c r="O45" s="45" t="s">
        <v>427</v>
      </c>
      <c r="P45" s="44" t="s">
        <v>83</v>
      </c>
      <c r="Q45" s="45" t="s">
        <v>418</v>
      </c>
    </row>
    <row r="46" customFormat="false" ht="41.25" hidden="false" customHeight="true" outlineLevel="0" collapsed="false">
      <c r="A46" s="43" t="s">
        <v>428</v>
      </c>
      <c r="B46" s="44" t="s">
        <v>41</v>
      </c>
      <c r="C46" s="46" t="s">
        <v>429</v>
      </c>
      <c r="D46" s="44" t="s">
        <v>270</v>
      </c>
      <c r="E46" s="43" t="s">
        <v>152</v>
      </c>
      <c r="F46" s="45"/>
      <c r="G46" s="45" t="s">
        <v>430</v>
      </c>
      <c r="H46" s="46" t="s">
        <v>431</v>
      </c>
      <c r="I46" s="45" t="s">
        <v>432</v>
      </c>
      <c r="J46" s="46" t="s">
        <v>433</v>
      </c>
      <c r="K46" s="43" t="s">
        <v>5</v>
      </c>
      <c r="L46" s="43" t="s">
        <v>72</v>
      </c>
      <c r="M46" s="46" t="s">
        <v>434</v>
      </c>
      <c r="N46" s="45" t="s">
        <v>426</v>
      </c>
      <c r="O46" s="45"/>
      <c r="P46" s="44" t="s">
        <v>98</v>
      </c>
      <c r="Q46" s="45" t="s">
        <v>435</v>
      </c>
    </row>
    <row r="47" customFormat="false" ht="40.5" hidden="false" customHeight="true" outlineLevel="0" collapsed="false">
      <c r="A47" s="43" t="s">
        <v>436</v>
      </c>
      <c r="B47" s="44" t="s">
        <v>41</v>
      </c>
      <c r="C47" s="45" t="s">
        <v>437</v>
      </c>
      <c r="D47" s="44" t="s">
        <v>293</v>
      </c>
      <c r="E47" s="43" t="s">
        <v>152</v>
      </c>
      <c r="F47" s="45"/>
      <c r="G47" s="46" t="s">
        <v>438</v>
      </c>
      <c r="H47" s="46" t="s">
        <v>439</v>
      </c>
      <c r="I47" s="46" t="s">
        <v>440</v>
      </c>
      <c r="J47" s="45" t="s">
        <v>441</v>
      </c>
      <c r="K47" s="44" t="s">
        <v>4</v>
      </c>
      <c r="L47" s="43" t="s">
        <v>62</v>
      </c>
      <c r="M47" s="46" t="s">
        <v>425</v>
      </c>
      <c r="N47" s="45" t="s">
        <v>442</v>
      </c>
      <c r="O47" s="46" t="s">
        <v>443</v>
      </c>
      <c r="P47" s="48" t="s">
        <v>96</v>
      </c>
      <c r="Q47" s="49" t="s">
        <v>444</v>
      </c>
    </row>
    <row r="48" customFormat="false" ht="40.5" hidden="false" customHeight="true" outlineLevel="0" collapsed="false">
      <c r="A48" s="43" t="s">
        <v>445</v>
      </c>
      <c r="B48" s="44" t="s">
        <v>41</v>
      </c>
      <c r="C48" s="45" t="s">
        <v>446</v>
      </c>
      <c r="D48" s="44" t="s">
        <v>293</v>
      </c>
      <c r="E48" s="43" t="s">
        <v>152</v>
      </c>
      <c r="F48" s="45"/>
      <c r="G48" s="46" t="s">
        <v>447</v>
      </c>
      <c r="H48" s="46" t="s">
        <v>439</v>
      </c>
      <c r="I48" s="46" t="s">
        <v>440</v>
      </c>
      <c r="J48" s="45" t="s">
        <v>441</v>
      </c>
      <c r="K48" s="44" t="s">
        <v>4</v>
      </c>
      <c r="L48" s="43" t="s">
        <v>62</v>
      </c>
      <c r="M48" s="46" t="s">
        <v>425</v>
      </c>
      <c r="N48" s="45" t="s">
        <v>442</v>
      </c>
      <c r="O48" s="46" t="s">
        <v>443</v>
      </c>
      <c r="P48" s="48" t="s">
        <v>96</v>
      </c>
      <c r="Q48" s="49" t="s">
        <v>444</v>
      </c>
    </row>
    <row r="49" customFormat="false" ht="40.5" hidden="false" customHeight="true" outlineLevel="0" collapsed="false">
      <c r="A49" s="43" t="s">
        <v>448</v>
      </c>
      <c r="B49" s="44" t="s">
        <v>41</v>
      </c>
      <c r="C49" s="45" t="s">
        <v>449</v>
      </c>
      <c r="D49" s="44" t="s">
        <v>293</v>
      </c>
      <c r="E49" s="43" t="s">
        <v>152</v>
      </c>
      <c r="F49" s="45"/>
      <c r="G49" s="45" t="s">
        <v>450</v>
      </c>
      <c r="H49" s="46" t="s">
        <v>439</v>
      </c>
      <c r="I49" s="46" t="s">
        <v>451</v>
      </c>
      <c r="J49" s="45" t="s">
        <v>452</v>
      </c>
      <c r="K49" s="44" t="s">
        <v>4</v>
      </c>
      <c r="L49" s="43" t="s">
        <v>133</v>
      </c>
      <c r="M49" s="46" t="s">
        <v>425</v>
      </c>
      <c r="N49" s="45" t="s">
        <v>453</v>
      </c>
      <c r="O49" s="45"/>
      <c r="P49" s="44" t="s">
        <v>83</v>
      </c>
      <c r="Q49" s="45" t="s">
        <v>454</v>
      </c>
    </row>
    <row r="50" customFormat="false" ht="40.5" hidden="false" customHeight="true" outlineLevel="0" collapsed="false">
      <c r="A50" s="43" t="s">
        <v>455</v>
      </c>
      <c r="B50" s="44" t="s">
        <v>41</v>
      </c>
      <c r="C50" s="45" t="s">
        <v>456</v>
      </c>
      <c r="D50" s="44" t="s">
        <v>293</v>
      </c>
      <c r="E50" s="43" t="s">
        <v>128</v>
      </c>
      <c r="F50" s="45"/>
      <c r="G50" s="46" t="s">
        <v>457</v>
      </c>
      <c r="H50" s="46" t="s">
        <v>439</v>
      </c>
      <c r="I50" s="46" t="s">
        <v>458</v>
      </c>
      <c r="J50" s="45" t="s">
        <v>459</v>
      </c>
      <c r="K50" s="44" t="s">
        <v>4</v>
      </c>
      <c r="L50" s="43" t="s">
        <v>133</v>
      </c>
      <c r="M50" s="46" t="s">
        <v>425</v>
      </c>
      <c r="N50" s="45" t="s">
        <v>453</v>
      </c>
      <c r="O50" s="45"/>
      <c r="P50" s="44" t="s">
        <v>83</v>
      </c>
      <c r="Q50" s="45" t="s">
        <v>460</v>
      </c>
    </row>
    <row r="51" customFormat="false" ht="40.5" hidden="false" customHeight="true" outlineLevel="0" collapsed="false">
      <c r="A51" s="43" t="s">
        <v>461</v>
      </c>
      <c r="B51" s="44" t="s">
        <v>41</v>
      </c>
      <c r="C51" s="45" t="s">
        <v>462</v>
      </c>
      <c r="D51" s="44" t="s">
        <v>260</v>
      </c>
      <c r="E51" s="43" t="s">
        <v>128</v>
      </c>
      <c r="F51" s="45"/>
      <c r="G51" s="46" t="s">
        <v>463</v>
      </c>
      <c r="H51" s="46" t="s">
        <v>439</v>
      </c>
      <c r="I51" s="46" t="s">
        <v>464</v>
      </c>
      <c r="J51" s="45" t="s">
        <v>465</v>
      </c>
      <c r="K51" s="44" t="s">
        <v>4</v>
      </c>
      <c r="L51" s="43" t="s">
        <v>133</v>
      </c>
      <c r="M51" s="46" t="s">
        <v>425</v>
      </c>
      <c r="N51" s="45" t="s">
        <v>453</v>
      </c>
      <c r="O51" s="45"/>
      <c r="P51" s="44" t="s">
        <v>83</v>
      </c>
      <c r="Q51" s="45" t="s">
        <v>460</v>
      </c>
    </row>
    <row r="52" customFormat="false" ht="40.5" hidden="false" customHeight="true" outlineLevel="0" collapsed="false">
      <c r="A52" s="43" t="s">
        <v>466</v>
      </c>
      <c r="B52" s="44" t="s">
        <v>41</v>
      </c>
      <c r="C52" s="45" t="s">
        <v>467</v>
      </c>
      <c r="D52" s="44" t="s">
        <v>260</v>
      </c>
      <c r="E52" s="43" t="s">
        <v>128</v>
      </c>
      <c r="F52" s="45"/>
      <c r="G52" s="46" t="s">
        <v>468</v>
      </c>
      <c r="H52" s="46" t="s">
        <v>439</v>
      </c>
      <c r="I52" s="46" t="s">
        <v>464</v>
      </c>
      <c r="J52" s="45" t="s">
        <v>469</v>
      </c>
      <c r="K52" s="44" t="s">
        <v>4</v>
      </c>
      <c r="L52" s="43" t="s">
        <v>133</v>
      </c>
      <c r="M52" s="46" t="s">
        <v>425</v>
      </c>
      <c r="N52" s="45" t="s">
        <v>453</v>
      </c>
      <c r="O52" s="45"/>
      <c r="P52" s="44" t="s">
        <v>83</v>
      </c>
      <c r="Q52" s="45" t="s">
        <v>460</v>
      </c>
    </row>
    <row r="53" customFormat="false" ht="40.5" hidden="false" customHeight="true" outlineLevel="0" collapsed="false">
      <c r="A53" s="43" t="s">
        <v>470</v>
      </c>
      <c r="B53" s="44" t="s">
        <v>41</v>
      </c>
      <c r="C53" s="45" t="s">
        <v>471</v>
      </c>
      <c r="D53" s="44" t="s">
        <v>293</v>
      </c>
      <c r="E53" s="43" t="s">
        <v>128</v>
      </c>
      <c r="F53" s="45"/>
      <c r="G53" s="46" t="s">
        <v>472</v>
      </c>
      <c r="H53" s="46" t="s">
        <v>439</v>
      </c>
      <c r="I53" s="46" t="s">
        <v>458</v>
      </c>
      <c r="J53" s="45" t="s">
        <v>473</v>
      </c>
      <c r="K53" s="44" t="s">
        <v>4</v>
      </c>
      <c r="L53" s="43" t="s">
        <v>133</v>
      </c>
      <c r="M53" s="46" t="s">
        <v>425</v>
      </c>
      <c r="N53" s="45" t="s">
        <v>453</v>
      </c>
      <c r="O53" s="45"/>
      <c r="P53" s="44" t="s">
        <v>83</v>
      </c>
      <c r="Q53" s="45" t="s">
        <v>460</v>
      </c>
    </row>
    <row r="54" customFormat="false" ht="40.5" hidden="false" customHeight="true" outlineLevel="0" collapsed="false">
      <c r="A54" s="43" t="s">
        <v>474</v>
      </c>
      <c r="B54" s="44" t="s">
        <v>41</v>
      </c>
      <c r="C54" s="45" t="s">
        <v>475</v>
      </c>
      <c r="D54" s="44" t="s">
        <v>293</v>
      </c>
      <c r="E54" s="43" t="s">
        <v>128</v>
      </c>
      <c r="F54" s="45"/>
      <c r="G54" s="45" t="s">
        <v>476</v>
      </c>
      <c r="H54" s="46" t="s">
        <v>439</v>
      </c>
      <c r="I54" s="46" t="s">
        <v>477</v>
      </c>
      <c r="J54" s="45" t="s">
        <v>478</v>
      </c>
      <c r="K54" s="44" t="s">
        <v>4</v>
      </c>
      <c r="L54" s="43" t="s">
        <v>133</v>
      </c>
      <c r="M54" s="46" t="s">
        <v>425</v>
      </c>
      <c r="N54" s="45" t="s">
        <v>453</v>
      </c>
      <c r="O54" s="45"/>
      <c r="P54" s="44" t="s">
        <v>83</v>
      </c>
      <c r="Q54" s="45" t="s">
        <v>479</v>
      </c>
    </row>
    <row r="55" customFormat="false" ht="40.5" hidden="false" customHeight="true" outlineLevel="0" collapsed="false">
      <c r="A55" s="43" t="s">
        <v>480</v>
      </c>
      <c r="B55" s="44" t="s">
        <v>41</v>
      </c>
      <c r="C55" s="45" t="s">
        <v>481</v>
      </c>
      <c r="D55" s="44" t="s">
        <v>260</v>
      </c>
      <c r="E55" s="43" t="s">
        <v>128</v>
      </c>
      <c r="F55" s="45"/>
      <c r="G55" s="45" t="s">
        <v>482</v>
      </c>
      <c r="H55" s="46" t="s">
        <v>439</v>
      </c>
      <c r="I55" s="46" t="s">
        <v>464</v>
      </c>
      <c r="J55" s="45" t="s">
        <v>483</v>
      </c>
      <c r="K55" s="44" t="s">
        <v>4</v>
      </c>
      <c r="L55" s="43" t="s">
        <v>133</v>
      </c>
      <c r="M55" s="46" t="s">
        <v>425</v>
      </c>
      <c r="N55" s="45" t="s">
        <v>453</v>
      </c>
      <c r="O55" s="45"/>
      <c r="P55" s="44" t="s">
        <v>83</v>
      </c>
      <c r="Q55" s="45" t="s">
        <v>479</v>
      </c>
    </row>
    <row r="56" customFormat="false" ht="40.5" hidden="false" customHeight="true" outlineLevel="0" collapsed="false">
      <c r="A56" s="43" t="s">
        <v>484</v>
      </c>
      <c r="B56" s="44" t="s">
        <v>41</v>
      </c>
      <c r="C56" s="45" t="s">
        <v>485</v>
      </c>
      <c r="D56" s="44" t="s">
        <v>293</v>
      </c>
      <c r="E56" s="43" t="s">
        <v>128</v>
      </c>
      <c r="F56" s="45"/>
      <c r="G56" s="45" t="s">
        <v>486</v>
      </c>
      <c r="H56" s="46" t="s">
        <v>439</v>
      </c>
      <c r="I56" s="46" t="s">
        <v>487</v>
      </c>
      <c r="J56" s="45" t="s">
        <v>488</v>
      </c>
      <c r="K56" s="44" t="s">
        <v>4</v>
      </c>
      <c r="L56" s="43" t="s">
        <v>133</v>
      </c>
      <c r="M56" s="46" t="s">
        <v>425</v>
      </c>
      <c r="N56" s="45" t="s">
        <v>453</v>
      </c>
      <c r="O56" s="45"/>
      <c r="P56" s="44" t="s">
        <v>83</v>
      </c>
      <c r="Q56" s="45" t="s">
        <v>489</v>
      </c>
    </row>
    <row r="57" customFormat="false" ht="39.75" hidden="false" customHeight="true" outlineLevel="0" collapsed="false">
      <c r="A57" s="43" t="s">
        <v>490</v>
      </c>
      <c r="B57" s="44" t="s">
        <v>41</v>
      </c>
      <c r="C57" s="46" t="s">
        <v>491</v>
      </c>
      <c r="D57" s="44" t="s">
        <v>492</v>
      </c>
      <c r="E57" s="43" t="s">
        <v>128</v>
      </c>
      <c r="F57" s="45"/>
      <c r="G57" s="45" t="s">
        <v>493</v>
      </c>
      <c r="H57" s="46" t="s">
        <v>494</v>
      </c>
      <c r="I57" s="45" t="s">
        <v>495</v>
      </c>
      <c r="J57" s="45" t="s">
        <v>496</v>
      </c>
      <c r="K57" s="44" t="s">
        <v>5</v>
      </c>
      <c r="L57" s="43" t="s">
        <v>67</v>
      </c>
      <c r="M57" s="46" t="s">
        <v>425</v>
      </c>
      <c r="N57" s="45" t="s">
        <v>442</v>
      </c>
      <c r="O57" s="46" t="s">
        <v>497</v>
      </c>
      <c r="P57" s="48" t="s">
        <v>98</v>
      </c>
      <c r="Q57" s="49" t="s">
        <v>498</v>
      </c>
    </row>
    <row r="58" customFormat="false" ht="46.5" hidden="false" customHeight="true" outlineLevel="0" collapsed="false">
      <c r="A58" s="43" t="s">
        <v>499</v>
      </c>
      <c r="B58" s="44" t="s">
        <v>41</v>
      </c>
      <c r="C58" s="45" t="s">
        <v>500</v>
      </c>
      <c r="D58" s="44" t="s">
        <v>293</v>
      </c>
      <c r="E58" s="43" t="s">
        <v>128</v>
      </c>
      <c r="F58" s="45"/>
      <c r="G58" s="45" t="s">
        <v>501</v>
      </c>
      <c r="H58" s="46" t="s">
        <v>502</v>
      </c>
      <c r="I58" s="45" t="s">
        <v>503</v>
      </c>
      <c r="J58" s="45" t="s">
        <v>504</v>
      </c>
      <c r="K58" s="44" t="s">
        <v>4</v>
      </c>
      <c r="L58" s="43" t="s">
        <v>133</v>
      </c>
      <c r="M58" s="46" t="s">
        <v>425</v>
      </c>
      <c r="N58" s="45" t="s">
        <v>505</v>
      </c>
      <c r="O58" s="46" t="s">
        <v>506</v>
      </c>
      <c r="P58" s="48" t="s">
        <v>83</v>
      </c>
      <c r="Q58" s="49" t="s">
        <v>507</v>
      </c>
    </row>
    <row r="59" customFormat="false" ht="27" hidden="false" customHeight="true" outlineLevel="0" collapsed="false">
      <c r="A59" s="43" t="s">
        <v>508</v>
      </c>
      <c r="B59" s="44" t="s">
        <v>44</v>
      </c>
      <c r="C59" s="45" t="s">
        <v>509</v>
      </c>
      <c r="D59" s="44" t="s">
        <v>510</v>
      </c>
      <c r="E59" s="43" t="s">
        <v>152</v>
      </c>
      <c r="F59" s="45" t="s">
        <v>511</v>
      </c>
      <c r="G59" s="45" t="s">
        <v>512</v>
      </c>
      <c r="H59" s="46" t="s">
        <v>513</v>
      </c>
      <c r="I59" s="45" t="s">
        <v>514</v>
      </c>
      <c r="J59" s="45" t="s">
        <v>515</v>
      </c>
      <c r="K59" s="43" t="s">
        <v>4</v>
      </c>
      <c r="L59" s="43" t="s">
        <v>74</v>
      </c>
      <c r="M59" s="45" t="s">
        <v>516</v>
      </c>
      <c r="N59" s="45" t="s">
        <v>517</v>
      </c>
      <c r="O59" s="45" t="s">
        <v>518</v>
      </c>
      <c r="P59" s="44" t="s">
        <v>83</v>
      </c>
      <c r="Q59" s="45" t="s">
        <v>519</v>
      </c>
    </row>
    <row r="60" customFormat="false" ht="27" hidden="false" customHeight="true" outlineLevel="0" collapsed="false">
      <c r="A60" s="43" t="s">
        <v>520</v>
      </c>
      <c r="B60" s="44" t="s">
        <v>44</v>
      </c>
      <c r="C60" s="45" t="s">
        <v>521</v>
      </c>
      <c r="D60" s="44" t="s">
        <v>522</v>
      </c>
      <c r="E60" s="43" t="s">
        <v>128</v>
      </c>
      <c r="F60" s="45" t="s">
        <v>511</v>
      </c>
      <c r="G60" s="46" t="s">
        <v>523</v>
      </c>
      <c r="H60" s="46" t="s">
        <v>524</v>
      </c>
      <c r="I60" s="45" t="s">
        <v>525</v>
      </c>
      <c r="J60" s="45" t="s">
        <v>526</v>
      </c>
      <c r="K60" s="44" t="s">
        <v>4</v>
      </c>
      <c r="L60" s="43" t="s">
        <v>133</v>
      </c>
      <c r="M60" s="45" t="s">
        <v>516</v>
      </c>
      <c r="N60" s="45" t="s">
        <v>517</v>
      </c>
      <c r="O60" s="46" t="s">
        <v>527</v>
      </c>
      <c r="P60" s="48" t="s">
        <v>83</v>
      </c>
      <c r="Q60" s="49" t="s">
        <v>528</v>
      </c>
    </row>
    <row r="61" customFormat="false" ht="15" hidden="false" customHeight="true" outlineLevel="0" collapsed="false">
      <c r="A61" s="43" t="s">
        <v>529</v>
      </c>
      <c r="B61" s="44" t="s">
        <v>44</v>
      </c>
      <c r="C61" s="45" t="s">
        <v>530</v>
      </c>
      <c r="D61" s="44" t="s">
        <v>531</v>
      </c>
      <c r="E61" s="43" t="s">
        <v>128</v>
      </c>
      <c r="F61" s="45" t="s">
        <v>511</v>
      </c>
      <c r="G61" s="45" t="s">
        <v>302</v>
      </c>
      <c r="H61" s="45" t="s">
        <v>532</v>
      </c>
      <c r="I61" s="45" t="s">
        <v>533</v>
      </c>
      <c r="J61" s="45" t="s">
        <v>534</v>
      </c>
      <c r="K61" s="43" t="s">
        <v>4</v>
      </c>
      <c r="L61" s="43" t="s">
        <v>133</v>
      </c>
      <c r="M61" s="45" t="s">
        <v>535</v>
      </c>
      <c r="N61" s="45" t="s">
        <v>536</v>
      </c>
      <c r="O61" s="45"/>
      <c r="P61" s="44" t="s">
        <v>98</v>
      </c>
      <c r="Q61" s="45" t="s">
        <v>537</v>
      </c>
    </row>
    <row r="62" customFormat="false" ht="40.5" hidden="false" customHeight="true" outlineLevel="0" collapsed="false">
      <c r="A62" s="43" t="s">
        <v>538</v>
      </c>
      <c r="B62" s="44" t="s">
        <v>44</v>
      </c>
      <c r="C62" s="45" t="s">
        <v>156</v>
      </c>
      <c r="D62" s="44" t="s">
        <v>282</v>
      </c>
      <c r="E62" s="43" t="s">
        <v>152</v>
      </c>
      <c r="F62" s="45" t="s">
        <v>511</v>
      </c>
      <c r="G62" s="45" t="s">
        <v>539</v>
      </c>
      <c r="H62" s="46" t="s">
        <v>540</v>
      </c>
      <c r="I62" s="46" t="s">
        <v>541</v>
      </c>
      <c r="J62" s="46" t="s">
        <v>542</v>
      </c>
      <c r="K62" s="43" t="s">
        <v>4</v>
      </c>
      <c r="L62" s="43" t="s">
        <v>133</v>
      </c>
      <c r="M62" s="46" t="s">
        <v>543</v>
      </c>
      <c r="N62" s="45" t="s">
        <v>163</v>
      </c>
      <c r="O62" s="45"/>
      <c r="P62" s="44" t="s">
        <v>83</v>
      </c>
      <c r="Q62" s="45" t="s">
        <v>418</v>
      </c>
    </row>
    <row r="63" customFormat="false" ht="39.75" hidden="false" customHeight="true" outlineLevel="0" collapsed="false">
      <c r="A63" s="43" t="s">
        <v>544</v>
      </c>
      <c r="B63" s="44" t="s">
        <v>44</v>
      </c>
      <c r="C63" s="45" t="s">
        <v>545</v>
      </c>
      <c r="D63" s="44" t="s">
        <v>293</v>
      </c>
      <c r="E63" s="43" t="s">
        <v>128</v>
      </c>
      <c r="F63" s="45" t="s">
        <v>511</v>
      </c>
      <c r="G63" s="46" t="s">
        <v>546</v>
      </c>
      <c r="H63" s="45" t="s">
        <v>547</v>
      </c>
      <c r="I63" s="46" t="s">
        <v>548</v>
      </c>
      <c r="J63" s="45" t="s">
        <v>549</v>
      </c>
      <c r="K63" s="44" t="s">
        <v>4</v>
      </c>
      <c r="L63" s="43" t="s">
        <v>133</v>
      </c>
      <c r="M63" s="46" t="s">
        <v>550</v>
      </c>
      <c r="N63" s="45" t="s">
        <v>551</v>
      </c>
      <c r="O63" s="45"/>
      <c r="P63" s="44" t="s">
        <v>83</v>
      </c>
      <c r="Q63" s="45" t="s">
        <v>552</v>
      </c>
    </row>
    <row r="64" customFormat="false" ht="27" hidden="false" customHeight="true" outlineLevel="0" collapsed="false">
      <c r="A64" s="43" t="s">
        <v>553</v>
      </c>
      <c r="B64" s="44" t="s">
        <v>44</v>
      </c>
      <c r="C64" s="45" t="s">
        <v>554</v>
      </c>
      <c r="D64" s="44" t="s">
        <v>232</v>
      </c>
      <c r="E64" s="43" t="s">
        <v>128</v>
      </c>
      <c r="F64" s="47" t="s">
        <v>555</v>
      </c>
      <c r="G64" s="45" t="s">
        <v>556</v>
      </c>
      <c r="H64" s="46" t="s">
        <v>557</v>
      </c>
      <c r="I64" s="45" t="s">
        <v>558</v>
      </c>
      <c r="J64" s="45" t="s">
        <v>559</v>
      </c>
      <c r="K64" s="44" t="s">
        <v>4</v>
      </c>
      <c r="L64" s="43" t="s">
        <v>84</v>
      </c>
      <c r="M64" s="46" t="s">
        <v>560</v>
      </c>
      <c r="N64" s="45" t="s">
        <v>561</v>
      </c>
      <c r="O64" s="45" t="s">
        <v>562</v>
      </c>
      <c r="P64" s="44" t="s">
        <v>83</v>
      </c>
      <c r="Q64" s="45" t="s">
        <v>563</v>
      </c>
    </row>
    <row r="65" customFormat="false" ht="26.25" hidden="false" customHeight="true" outlineLevel="0" collapsed="false">
      <c r="A65" s="43" t="s">
        <v>564</v>
      </c>
      <c r="B65" s="44" t="s">
        <v>48</v>
      </c>
      <c r="C65" s="45" t="s">
        <v>565</v>
      </c>
      <c r="D65" s="44" t="s">
        <v>566</v>
      </c>
      <c r="E65" s="43" t="s">
        <v>152</v>
      </c>
      <c r="F65" s="45" t="s">
        <v>567</v>
      </c>
      <c r="G65" s="45" t="s">
        <v>568</v>
      </c>
      <c r="H65" s="45" t="s">
        <v>569</v>
      </c>
      <c r="I65" s="45" t="s">
        <v>570</v>
      </c>
      <c r="J65" s="45"/>
      <c r="K65" s="44" t="s">
        <v>6</v>
      </c>
      <c r="L65" s="43" t="s">
        <v>133</v>
      </c>
      <c r="M65" s="45" t="s">
        <v>571</v>
      </c>
      <c r="N65" s="45" t="s">
        <v>561</v>
      </c>
      <c r="O65" s="45" t="s">
        <v>572</v>
      </c>
      <c r="P65" s="44" t="s">
        <v>83</v>
      </c>
      <c r="Q65" s="45" t="s">
        <v>573</v>
      </c>
    </row>
    <row r="66" customFormat="false" ht="26.25" hidden="false" customHeight="true" outlineLevel="0" collapsed="false">
      <c r="A66" s="43" t="s">
        <v>574</v>
      </c>
      <c r="B66" s="44" t="s">
        <v>48</v>
      </c>
      <c r="C66" s="45" t="s">
        <v>575</v>
      </c>
      <c r="D66" s="44" t="s">
        <v>576</v>
      </c>
      <c r="E66" s="43" t="s">
        <v>128</v>
      </c>
      <c r="F66" s="45" t="s">
        <v>577</v>
      </c>
      <c r="G66" s="46" t="s">
        <v>578</v>
      </c>
      <c r="H66" s="45" t="s">
        <v>579</v>
      </c>
      <c r="I66" s="45" t="s">
        <v>580</v>
      </c>
      <c r="J66" s="45"/>
      <c r="K66" s="44" t="s">
        <v>6</v>
      </c>
      <c r="L66" s="43" t="s">
        <v>133</v>
      </c>
      <c r="M66" s="46" t="s">
        <v>581</v>
      </c>
      <c r="N66" s="45" t="s">
        <v>561</v>
      </c>
      <c r="O66" s="45" t="s">
        <v>572</v>
      </c>
      <c r="P66" s="44" t="s">
        <v>105</v>
      </c>
      <c r="Q66" s="45" t="s">
        <v>582</v>
      </c>
    </row>
  </sheetData>
  <conditionalFormatting sqref="K2:K266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  <cfRule type="cellIs" priority="4" operator="equal" aboveAverage="0" equalAverage="0" bottom="0" percent="0" rank="0" text="" dxfId="2">
      <formula>"미수행"</formula>
    </cfRule>
    <cfRule type="cellIs" priority="5" operator="equal" aboveAverage="0" equalAverage="0" bottom="0" percent="0" rank="0" text="" dxfId="3">
      <formula>"Blocked"</formula>
    </cfRule>
  </conditionalFormatting>
  <dataValidations count="2">
    <dataValidation allowBlank="true" errorStyle="stop" operator="between" showDropDown="false" showErrorMessage="false" showInputMessage="false" sqref="K2:K266" type="list">
      <formula1>"Pass,Fail,미수행,Blocked"</formula1>
      <formula2>0</formula2>
    </dataValidation>
    <dataValidation allowBlank="true" errorStyle="stop" operator="between" showDropDown="false" showErrorMessage="false" showInputMessage="false" sqref="E2:E26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2026-10-10T09:25:34Z</dcterms:created>
  <dc:creator>openpyxl</dc:creator>
  <dc:description/>
  <dc:language>en-US</dc:language>
  <cp:lastModifiedBy>EDU01-06</cp:lastModifiedBy>
  <dcterms:modified xsi:type="dcterms:W3CDTF">2026-10-17T16:00:08Z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