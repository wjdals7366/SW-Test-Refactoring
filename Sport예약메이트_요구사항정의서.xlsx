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요구사항 목록" sheetId="2" state="visible" r:id="rId4"/>
    <sheet name="추적표" sheetId="3" state="visible" r:id="rId5"/>
  </sheets>
  <definedNames>
    <definedName function="false" hidden="true" localSheetId="1" name="_xlnm._FilterDatabase" vbProcedure="false">'요구사항 목록'!$A$1:$P$34</definedName>
    <definedName function="false" hidden="true" localSheetId="2" name="_xlnm._FilterDatabase" vbProcedure="false">추적표!$A$1:$F$71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<sst xmlns="http://schemas.openxmlformats.org/spreadsheetml/2006/main" count="867" uniqueCount="363">
  <si>
    <r>
      <rPr>
        <b val="true"/>
        <sz val="16"/>
        <color rgb="FF1F4E79"/>
        <rFont val="Malgun Gothic"/>
        <family val="0"/>
        <charset val="1"/>
      </rPr>
      <t xml:space="preserve">Sport </t>
    </r>
    <r>
      <rPr>
        <b val="true"/>
        <sz val="16"/>
        <color rgb="FF1F4E79"/>
        <rFont val="Noto Sans CJK SC"/>
        <family val="2"/>
      </rPr>
      <t xml:space="preserve">예약 메이트 요구사항 정의서 </t>
    </r>
    <r>
      <rPr>
        <b val="true"/>
        <sz val="16"/>
        <color rgb="FF1F4E79"/>
        <rFont val="Malgun Gothic"/>
        <family val="0"/>
        <charset val="1"/>
      </rPr>
      <t xml:space="preserve">(</t>
    </r>
    <r>
      <rPr>
        <b val="true"/>
        <sz val="16"/>
        <color rgb="FF1F4E79"/>
        <rFont val="Noto Sans CJK SC"/>
        <family val="2"/>
      </rPr>
      <t xml:space="preserve">역도출</t>
    </r>
    <r>
      <rPr>
        <b val="true"/>
        <sz val="16"/>
        <color rgb="FF1F4E79"/>
        <rFont val="Malgun Gothic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</si>
  <si>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근거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소스 코드</t>
    </r>
    <r>
      <rPr>
        <sz val="9"/>
        <color rgb="FF595959"/>
        <rFont val="Malgun Gothic"/>
        <family val="0"/>
        <charset val="1"/>
      </rPr>
      <t xml:space="preserve">(pass-project-master, pass-batch-master), </t>
    </r>
    <r>
      <rPr>
        <sz val="9"/>
        <color rgb="FF595959"/>
        <rFont val="Noto Sans CJK SC"/>
        <family val="2"/>
      </rPr>
      <t xml:space="preserve">화면 템플릿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프로젝트 메모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테스트 수행 보고서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테스트 케이스 </t>
    </r>
    <r>
      <rPr>
        <sz val="9"/>
        <color rgb="FF595959"/>
        <rFont val="Malgun Gothic"/>
        <family val="0"/>
        <charset val="1"/>
      </rPr>
      <t xml:space="preserve">(2026-10-17)</t>
    </r>
  </si>
  <si>
    <r>
      <rPr>
        <sz val="10"/>
        <rFont val="Noto Sans CJK SC"/>
        <family val="2"/>
      </rPr>
      <t xml:space="preserve">원래 요구사항 문서가 없어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명시된 목표와 코드의 검증 규칙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동작에서 요구사항을 거꾸로 정리하고 테스트로 드러난 누락 요구사항을 추가했습니다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각 요구사항은 추적표로 테스트 케이스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결함과 연결됩니다</t>
    </r>
    <r>
      <rPr>
        <sz val="10"/>
        <rFont val="Malgun Gothic"/>
        <family val="0"/>
        <charset val="1"/>
      </rPr>
      <t xml:space="preserve">.</t>
    </r>
  </si>
  <si>
    <t xml:space="preserve">분류별 충족 현황</t>
  </si>
  <si>
    <t xml:space="preserve">분류</t>
  </si>
  <si>
    <t xml:space="preserve">요구사항 수</t>
  </si>
  <si>
    <t xml:space="preserve">충족</t>
  </si>
  <si>
    <r>
      <rPr>
        <b val="true"/>
        <sz val="10"/>
        <color rgb="FFFFFFFF"/>
        <rFont val="Noto Sans CJK SC"/>
        <family val="2"/>
      </rPr>
      <t xml:space="preserve">충족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수정 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</si>
  <si>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미충족</t>
  </si>
  <si>
    <t xml:space="preserve">미검증</t>
  </si>
  <si>
    <t xml:space="preserve">기준 미정</t>
  </si>
  <si>
    <t xml:space="preserve">기능</t>
  </si>
  <si>
    <t xml:space="preserve">보안</t>
  </si>
  <si>
    <t xml:space="preserve">데이터</t>
  </si>
  <si>
    <t xml:space="preserve">성능</t>
  </si>
  <si>
    <t xml:space="preserve">합계</t>
  </si>
  <si>
    <t xml:space="preserve">출처별 요구사항 수</t>
  </si>
  <si>
    <t xml:space="preserve">출처</t>
  </si>
  <si>
    <t xml:space="preserve">명시</t>
  </si>
  <si>
    <t xml:space="preserve">코드</t>
  </si>
  <si>
    <t xml:space="preserve">화면</t>
  </si>
  <si>
    <t xml:space="preserve">테스트로 도출</t>
  </si>
  <si>
    <t xml:space="preserve">추적성 점검</t>
  </si>
  <si>
    <t xml:space="preserve">항목</t>
  </si>
  <si>
    <t xml:space="preserve">개수</t>
  </si>
  <si>
    <r>
      <rPr>
        <sz val="10"/>
        <rFont val="Malgun Gothic"/>
        <family val="0"/>
        <charset val="1"/>
      </rPr>
      <t xml:space="preserve">TC</t>
    </r>
    <r>
      <rPr>
        <sz val="10"/>
        <rFont val="Noto Sans CJK SC"/>
        <family val="2"/>
      </rPr>
      <t xml:space="preserve">가 연결되지 않은 요구사항</t>
    </r>
  </si>
  <si>
    <r>
      <rPr>
        <sz val="10"/>
        <rFont val="Noto Sans CJK SC"/>
        <family val="2"/>
      </rPr>
      <t xml:space="preserve">요구사항에 연결되지 않은 </t>
    </r>
    <r>
      <rPr>
        <sz val="10"/>
        <rFont val="Malgun Gothic"/>
        <family val="0"/>
        <charset val="1"/>
      </rPr>
      <t xml:space="preserve">TC</t>
    </r>
  </si>
  <si>
    <t xml:space="preserve">정리하며 드러난 점</t>
  </si>
  <si>
    <r>
      <rPr>
        <sz val="10"/>
        <rFont val="Noto Sans CJK SC"/>
        <family val="2"/>
      </rPr>
      <t xml:space="preserve">• 결함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건은 요구사항이 정의되지 않은 곳에서 나왔습니다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비밀번호 최대 길이</t>
    </r>
    <r>
      <rPr>
        <sz val="10"/>
        <rFont val="Malgun Gothic"/>
        <family val="0"/>
        <charset val="1"/>
      </rPr>
      <t xml:space="preserve">(REQ-F-05 → DEF-003), </t>
    </r>
    <r>
      <rPr>
        <sz val="10"/>
        <rFont val="Noto Sans CJK SC"/>
        <family val="2"/>
      </rPr>
      <t xml:space="preserve">가입 실패 응답</t>
    </r>
    <r>
      <rPr>
        <sz val="10"/>
        <rFont val="Malgun Gothic"/>
        <family val="0"/>
        <charset val="1"/>
      </rPr>
      <t xml:space="preserve">(REQ-F-08 → DEF-004), </t>
    </r>
    <r>
      <rPr>
        <sz val="10"/>
        <rFont val="Noto Sans CJK SC"/>
        <family val="2"/>
      </rPr>
      <t xml:space="preserve">시간대 기준</t>
    </r>
    <r>
      <rPr>
        <sz val="10"/>
        <rFont val="Malgun Gothic"/>
        <family val="0"/>
        <charset val="1"/>
      </rPr>
      <t xml:space="preserve">(REQ-D-02 → DEF-005), </t>
    </r>
    <r>
      <rPr>
        <sz val="10"/>
        <rFont val="Noto Sans CJK SC"/>
        <family val="2"/>
      </rPr>
      <t xml:space="preserve">목록 페이징</t>
    </r>
    <r>
      <rPr>
        <sz val="10"/>
        <rFont val="Malgun Gothic"/>
        <family val="0"/>
        <charset val="1"/>
      </rPr>
      <t xml:space="preserve">(REQ-NF-04 → PERF-002).</t>
    </r>
  </si>
  <si>
    <r>
      <rPr>
        <sz val="10"/>
        <rFont val="Noto Sans CJK SC"/>
        <family val="2"/>
      </rPr>
      <t xml:space="preserve">• 관리자 페이지 접근 제어</t>
    </r>
    <r>
      <rPr>
        <sz val="10"/>
        <rFont val="Malgun Gothic"/>
        <family val="0"/>
        <charset val="1"/>
      </rPr>
      <t xml:space="preserve">(REQ-S-05)</t>
    </r>
    <r>
      <rPr>
        <sz val="10"/>
        <rFont val="Noto Sans CJK SC"/>
        <family val="2"/>
      </rPr>
      <t xml:space="preserve">는 코드에 구현돼 있지만 연결된 </t>
    </r>
    <r>
      <rPr>
        <sz val="10"/>
        <rFont val="Malgun Gothic"/>
        <family val="0"/>
        <charset val="1"/>
      </rPr>
      <t xml:space="preserve">TC</t>
    </r>
    <r>
      <rPr>
        <sz val="10"/>
        <rFont val="Noto Sans CJK SC"/>
        <family val="2"/>
      </rPr>
      <t xml:space="preserve">가 없는 테스트 공백입니다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비인증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일반 계정 접근 </t>
    </r>
    <r>
      <rPr>
        <sz val="10"/>
        <rFont val="Malgun Gothic"/>
        <family val="0"/>
        <charset val="1"/>
      </rPr>
      <t xml:space="preserve">TC</t>
    </r>
    <r>
      <rPr>
        <sz val="10"/>
        <rFont val="Noto Sans CJK SC"/>
        <family val="2"/>
      </rPr>
      <t xml:space="preserve">를 추가해야 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</si>
  <si>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예약 요구사항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건</t>
    </r>
    <r>
      <rPr>
        <sz val="10"/>
        <rFont val="Malgun Gothic"/>
        <family val="0"/>
        <charset val="1"/>
      </rPr>
      <t xml:space="preserve">(REQ-F-20·21)</t>
    </r>
    <r>
      <rPr>
        <sz val="10"/>
        <rFont val="Noto Sans CJK SC"/>
        <family val="2"/>
      </rPr>
      <t xml:space="preserve">은 프로젝트 목표에 명시돼 있으나 시나리오 설계 전이라 미검증입니다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</si>
  <si>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로그인 동시 접속</t>
    </r>
    <r>
      <rPr>
        <sz val="10"/>
        <rFont val="Malgun Gothic"/>
        <family val="0"/>
        <charset val="1"/>
      </rPr>
      <t xml:space="preserve">(REQ-NF-03)</t>
    </r>
    <r>
      <rPr>
        <sz val="10"/>
        <rFont val="Noto Sans CJK SC"/>
        <family val="2"/>
      </rPr>
      <t xml:space="preserve">은 목표 인원만 있고 응답 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실패율 기준이 없어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기준 미정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분류했습니다</t>
    </r>
    <r>
      <rPr>
        <sz val="10"/>
        <rFont val="Malgun Gothic"/>
        <family val="0"/>
        <charset val="1"/>
      </rPr>
      <t xml:space="preserve">.</t>
    </r>
  </si>
  <si>
    <t xml:space="preserve">작성 기준</t>
  </si>
  <si>
    <r>
      <rPr>
        <b val="true"/>
        <sz val="10"/>
        <rFont val="Noto Sans CJK SC"/>
        <family val="2"/>
      </rPr>
      <t xml:space="preserve">출처 </t>
    </r>
    <r>
      <rPr>
        <b val="true"/>
        <sz val="10"/>
        <rFont val="Malgun Gothic"/>
        <family val="0"/>
        <charset val="1"/>
      </rPr>
      <t xml:space="preserve">- </t>
    </r>
    <r>
      <rPr>
        <b val="true"/>
        <sz val="10"/>
        <rFont val="Noto Sans CJK SC"/>
        <family val="2"/>
      </rPr>
      <t xml:space="preserve">명시</t>
    </r>
  </si>
  <si>
    <r>
      <rPr>
        <sz val="10"/>
        <rFont val="Noto Sans CJK SC"/>
        <family val="2"/>
      </rPr>
      <t xml:space="preserve">프로젝트 목표로 처음부터 정해 둔 요구사항 </t>
    </r>
    <r>
      <rPr>
        <sz val="10"/>
        <rFont val="Malgun Gothic"/>
        <family val="0"/>
        <charset val="1"/>
      </rPr>
      <t xml:space="preserve">(1</t>
    </r>
    <r>
      <rPr>
        <sz val="10"/>
        <rFont val="Noto Sans CJK SC"/>
        <family val="2"/>
      </rPr>
      <t xml:space="preserve">만 건 배치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동시 접속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예약 기능 등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</si>
  <si>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출처 </t>
    </r>
    <r>
      <rPr>
        <b val="true"/>
        <sz val="10"/>
        <rFont val="Malgun Gothic"/>
        <family val="0"/>
        <charset val="1"/>
      </rPr>
      <t xml:space="preserve">- </t>
    </r>
    <r>
      <rPr>
        <b val="true"/>
        <sz val="10"/>
        <rFont val="Noto Sans CJK SC"/>
        <family val="2"/>
      </rPr>
      <t xml:space="preserve">코드 </t>
    </r>
    <r>
      <rPr>
        <b val="true"/>
        <sz val="10"/>
        <rFont val="Malgun Gothic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화면</t>
    </r>
  </si>
  <si>
    <r>
      <rPr>
        <sz val="10"/>
        <rFont val="Noto Sans CJK SC"/>
        <family val="2"/>
      </rPr>
      <t xml:space="preserve">서버 코드의 검증 규칙과 동작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화면 스크립트에서 읽어 낸 요구사항</t>
    </r>
  </si>
  <si>
    <r>
      <rPr>
        <b val="true"/>
        <sz val="10"/>
        <rFont val="Noto Sans CJK SC"/>
        <family val="2"/>
      </rPr>
      <t xml:space="preserve">출처 </t>
    </r>
    <r>
      <rPr>
        <b val="true"/>
        <sz val="10"/>
        <rFont val="Malgun Gothic"/>
        <family val="0"/>
        <charset val="1"/>
      </rPr>
      <t xml:space="preserve">- </t>
    </r>
    <r>
      <rPr>
        <b val="true"/>
        <sz val="10"/>
        <rFont val="Noto Sans CJK SC"/>
        <family val="2"/>
      </rPr>
      <t xml:space="preserve">테스트로 도출</t>
    </r>
  </si>
  <si>
    <r>
      <rPr>
        <sz val="10"/>
        <rFont val="Noto Sans CJK SC"/>
        <family val="2"/>
      </rPr>
      <t xml:space="preserve">정의되지 않았지만 테스트 결과로 필요성이 드러나 추가한 요구사항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주황 굵은 글씨</t>
    </r>
    <r>
      <rPr>
        <sz val="10"/>
        <rFont val="Malgun Gothic"/>
        <family val="0"/>
        <charset val="1"/>
      </rPr>
      <t xml:space="preserve">)</t>
    </r>
  </si>
  <si>
    <t xml:space="preserve">충족 여부</t>
  </si>
  <si>
    <r>
      <rPr>
        <sz val="10"/>
        <rFont val="Noto Sans CJK SC"/>
        <family val="2"/>
      </rPr>
      <t xml:space="preserve">충족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충족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수정 후</t>
    </r>
    <r>
      <rPr>
        <sz val="10"/>
        <rFont val="Malgun Gothic"/>
        <family val="0"/>
        <charset val="1"/>
      </rPr>
      <t xml:space="preserve">) / </t>
    </r>
    <r>
      <rPr>
        <sz val="10"/>
        <rFont val="Noto Sans CJK SC"/>
        <family val="2"/>
      </rPr>
      <t xml:space="preserve">미충족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미검증</t>
    </r>
    <r>
      <rPr>
        <sz val="10"/>
        <rFont val="Malgun Gothic"/>
        <family val="0"/>
        <charset val="1"/>
      </rPr>
      <t xml:space="preserve">(TC </t>
    </r>
    <r>
      <rPr>
        <sz val="10"/>
        <rFont val="Noto Sans CJK SC"/>
        <family val="2"/>
      </rPr>
      <t xml:space="preserve">미수행 또는 없음</t>
    </r>
    <r>
      <rPr>
        <sz val="10"/>
        <rFont val="Malgun Gothic"/>
        <family val="0"/>
        <charset val="1"/>
      </rPr>
      <t xml:space="preserve">) / </t>
    </r>
    <r>
      <rPr>
        <sz val="10"/>
        <rFont val="Noto Sans CJK SC"/>
        <family val="2"/>
      </rPr>
      <t xml:space="preserve">기준 미정</t>
    </r>
  </si>
  <si>
    <r>
      <rPr>
        <b val="true"/>
        <sz val="10"/>
        <rFont val="Malgun Gothic"/>
        <family val="0"/>
        <charset val="1"/>
      </rPr>
      <t xml:space="preserve">TC </t>
    </r>
    <r>
      <rPr>
        <b val="true"/>
        <sz val="10"/>
        <rFont val="Noto Sans CJK SC"/>
        <family val="2"/>
      </rPr>
      <t xml:space="preserve">수</t>
    </r>
    <r>
      <rPr>
        <b val="true"/>
        <sz val="10"/>
        <rFont val="Malgun Gothic"/>
        <family val="0"/>
        <charset val="1"/>
      </rPr>
      <t xml:space="preserve">·Pass·Fail·</t>
    </r>
    <r>
      <rPr>
        <b val="true"/>
        <sz val="10"/>
        <rFont val="Noto Sans CJK SC"/>
        <family val="2"/>
      </rPr>
      <t xml:space="preserve">미수행</t>
    </r>
  </si>
  <si>
    <r>
      <rPr>
        <sz val="10"/>
        <rFont val="Noto Sans CJK SC"/>
        <family val="2"/>
      </rPr>
      <t xml:space="preserve">추적표에서 자동 집계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추적표의 판정은 테스트 케이스 파일</t>
    </r>
    <r>
      <rPr>
        <sz val="10"/>
        <rFont val="Malgun Gothic"/>
        <family val="0"/>
        <charset val="1"/>
      </rPr>
      <t xml:space="preserve">(2026-10-17)</t>
    </r>
    <r>
      <rPr>
        <sz val="10"/>
        <rFont val="Noto Sans CJK SC"/>
        <family val="2"/>
      </rPr>
      <t xml:space="preserve">의 값을 옮겨 온 것</t>
    </r>
  </si>
  <si>
    <t xml:space="preserve">REQ ID</t>
  </si>
  <si>
    <r>
      <rPr>
        <sz val="10"/>
        <rFont val="Malgun Gothic"/>
        <family val="0"/>
        <charset val="1"/>
      </rPr>
      <t xml:space="preserve">REQ-F(</t>
    </r>
    <r>
      <rPr>
        <sz val="10"/>
        <rFont val="Noto Sans CJK SC"/>
        <family val="2"/>
      </rPr>
      <t xml:space="preserve">기능</t>
    </r>
    <r>
      <rPr>
        <sz val="10"/>
        <rFont val="Malgun Gothic"/>
        <family val="0"/>
        <charset val="1"/>
      </rPr>
      <t xml:space="preserve">), REQ-S(</t>
    </r>
    <r>
      <rPr>
        <sz val="10"/>
        <rFont val="Noto Sans CJK SC"/>
        <family val="2"/>
      </rPr>
      <t xml:space="preserve">보안</t>
    </r>
    <r>
      <rPr>
        <sz val="10"/>
        <rFont val="Malgun Gothic"/>
        <family val="0"/>
        <charset val="1"/>
      </rPr>
      <t xml:space="preserve">), REQ-D(</t>
    </r>
    <r>
      <rPr>
        <sz val="10"/>
        <rFont val="Noto Sans CJK SC"/>
        <family val="2"/>
      </rPr>
      <t xml:space="preserve">데이터</t>
    </r>
    <r>
      <rPr>
        <sz val="10"/>
        <rFont val="Malgun Gothic"/>
        <family val="0"/>
        <charset val="1"/>
      </rPr>
      <t xml:space="preserve">), REQ-NF(</t>
    </r>
    <r>
      <rPr>
        <sz val="10"/>
        <rFont val="Noto Sans CJK SC"/>
        <family val="2"/>
      </rPr>
      <t xml:space="preserve">성능</t>
    </r>
    <r>
      <rPr>
        <sz val="10"/>
        <rFont val="Malgun Gothic"/>
        <family val="0"/>
        <charset val="1"/>
      </rPr>
      <t xml:space="preserve">)</t>
    </r>
  </si>
  <si>
    <t xml:space="preserve">기능 영역</t>
  </si>
  <si>
    <t xml:space="preserve">요구사항</t>
  </si>
  <si>
    <t xml:space="preserve">수용 기준</t>
  </si>
  <si>
    <t xml:space="preserve">출처 근거</t>
  </si>
  <si>
    <t xml:space="preserve">우선순위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</si>
  <si>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Malgun Gothic"/>
        <family val="0"/>
        <charset val="1"/>
      </rPr>
      <t xml:space="preserve">TC</t>
    </r>
  </si>
  <si>
    <r>
      <rPr>
        <b val="true"/>
        <sz val="10"/>
        <color rgb="FFFFFFFF"/>
        <rFont val="Malgun Gothic"/>
        <family val="0"/>
        <charset val="1"/>
      </rPr>
      <t xml:space="preserve">TC </t>
    </r>
    <r>
      <rPr>
        <b val="true"/>
        <sz val="10"/>
        <color rgb="FFFFFFFF"/>
        <rFont val="Noto Sans CJK SC"/>
        <family val="2"/>
      </rPr>
      <t xml:space="preserve">수</t>
    </r>
  </si>
  <si>
    <t xml:space="preserve">Pass</t>
  </si>
  <si>
    <t xml:space="preserve">Fail</t>
  </si>
  <si>
    <t xml:space="preserve">미수행</t>
  </si>
  <si>
    <t xml:space="preserve">관련 결함</t>
  </si>
  <si>
    <t xml:space="preserve">비고</t>
  </si>
  <si>
    <t xml:space="preserve">REQ-F-01</t>
  </si>
  <si>
    <t xml:space="preserve">회원가입</t>
  </si>
  <si>
    <r>
      <rPr>
        <sz val="10"/>
        <rFont val="Noto Sans CJK SC"/>
        <family val="2"/>
      </rPr>
      <t xml:space="preserve">아이디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전화번호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이메일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카카오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로 회원가입할 수 있다</t>
    </r>
  </si>
  <si>
    <r>
      <rPr>
        <sz val="10"/>
        <rFont val="Noto Sans CJK SC"/>
        <family val="2"/>
      </rPr>
      <t xml:space="preserve">가입 요청이 성공하면 </t>
    </r>
    <r>
      <rPr>
        <sz val="10"/>
        <rFont val="Malgun Gothic"/>
        <family val="0"/>
        <charset val="1"/>
      </rPr>
      <t xml:space="preserve">user </t>
    </r>
    <r>
      <rPr>
        <sz val="10"/>
        <rFont val="Noto Sans CJK SC"/>
        <family val="2"/>
      </rPr>
      <t xml:space="preserve">테이블에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행이 저장되고 </t>
    </r>
    <r>
      <rPr>
        <sz val="10"/>
        <rFont val="Malgun Gothic"/>
        <family val="0"/>
        <charset val="1"/>
      </rPr>
      <t xml:space="preserve">/login</t>
    </r>
    <r>
      <rPr>
        <sz val="10"/>
        <rFont val="Noto Sans CJK SC"/>
        <family val="2"/>
      </rPr>
      <t xml:space="preserve">으로 이동한다</t>
    </r>
  </si>
  <si>
    <t xml:space="preserve">JoinController, join.mustache</t>
  </si>
  <si>
    <t xml:space="preserve">High</t>
  </si>
  <si>
    <t xml:space="preserve">JN-01, JN-02</t>
  </si>
  <si>
    <t xml:space="preserve">-</t>
  </si>
  <si>
    <t xml:space="preserve">REQ-F-02</t>
  </si>
  <si>
    <t xml:space="preserve">필수 입력값이 비어 있으면 가입을 거부한다</t>
  </si>
  <si>
    <r>
      <rPr>
        <sz val="10"/>
        <rFont val="Noto Sans CJK SC"/>
        <family val="2"/>
      </rPr>
      <t xml:space="preserve">이름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이메일 등 필수 값이 빈 값이면 </t>
    </r>
    <r>
      <rPr>
        <sz val="10"/>
        <rFont val="Malgun Gothic"/>
        <family val="0"/>
        <charset val="1"/>
      </rPr>
      <t xml:space="preserve">400, "</t>
    </r>
    <r>
      <rPr>
        <sz val="10"/>
        <rFont val="Noto Sans CJK SC"/>
        <family val="2"/>
      </rPr>
      <t xml:space="preserve">입력이 안된 사항이 있습니다</t>
    </r>
    <r>
      <rPr>
        <sz val="10"/>
        <rFont val="Malgun Gothic"/>
        <family val="0"/>
        <charset val="1"/>
      </rPr>
      <t xml:space="preserve">.", </t>
    </r>
    <r>
      <rPr>
        <sz val="10"/>
        <rFont val="Noto Sans CJK SC"/>
        <family val="2"/>
      </rPr>
      <t xml:space="preserve">저장 안 됨</t>
    </r>
  </si>
  <si>
    <t xml:space="preserve">LoginService.create()</t>
  </si>
  <si>
    <t xml:space="preserve">JN-04, JN-05</t>
  </si>
  <si>
    <r>
      <rPr>
        <sz val="10"/>
        <rFont val="Malgun Gothic"/>
        <family val="0"/>
        <charset val="1"/>
      </rPr>
      <t xml:space="preserve">DEF-002 (</t>
    </r>
    <r>
      <rPr>
        <sz val="10"/>
        <rFont val="Noto Sans CJK SC"/>
        <family val="2"/>
      </rPr>
      <t xml:space="preserve">기각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</si>
  <si>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문자열 </t>
    </r>
    <r>
      <rPr>
        <sz val="10"/>
        <rFont val="Malgun Gothic"/>
        <family val="0"/>
        <charset val="1"/>
      </rPr>
      <t xml:space="preserve">== </t>
    </r>
    <r>
      <rPr>
        <sz val="10"/>
        <rFont val="Noto Sans CJK SC"/>
        <family val="2"/>
      </rPr>
      <t xml:space="preserve">비교는 결함은 아니나 </t>
    </r>
    <r>
      <rPr>
        <sz val="10"/>
        <rFont val="Malgun Gothic"/>
        <family val="0"/>
        <charset val="1"/>
      </rPr>
      <t xml:space="preserve">isEmpty()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@NotBlank</t>
    </r>
    <r>
      <rPr>
        <sz val="10"/>
        <rFont val="Noto Sans CJK SC"/>
        <family val="2"/>
      </rPr>
      <t xml:space="preserve">로 개선 권고</t>
    </r>
  </si>
  <si>
    <t xml:space="preserve">REQ-F-03</t>
  </si>
  <si>
    <r>
      <rPr>
        <sz val="10"/>
        <rFont val="Noto Sans CJK SC"/>
        <family val="2"/>
      </rPr>
      <t xml:space="preserve">아이디는 </t>
    </r>
    <r>
      <rPr>
        <sz val="10"/>
        <rFont val="Malgun Gothic"/>
        <family val="0"/>
        <charset val="1"/>
      </rPr>
      <t xml:space="preserve">5~20</t>
    </r>
    <r>
      <rPr>
        <sz val="10"/>
        <rFont val="Noto Sans CJK SC"/>
        <family val="2"/>
      </rPr>
      <t xml:space="preserve">자로 제한한다</t>
    </r>
  </si>
  <si>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자</t>
    </r>
    <r>
      <rPr>
        <sz val="10"/>
        <rFont val="Malgun Gothic"/>
        <family val="0"/>
        <charset val="1"/>
      </rPr>
      <t xml:space="preserve">·21</t>
    </r>
    <r>
      <rPr>
        <sz val="10"/>
        <rFont val="Noto Sans CJK SC"/>
        <family val="2"/>
      </rPr>
      <t xml:space="preserve">자는 </t>
    </r>
    <r>
      <rPr>
        <sz val="10"/>
        <rFont val="Malgun Gothic"/>
        <family val="0"/>
        <charset val="1"/>
      </rPr>
      <t xml:space="preserve">400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id_error, 5</t>
    </r>
    <r>
      <rPr>
        <sz val="10"/>
        <rFont val="Noto Sans CJK SC"/>
        <family val="2"/>
      </rPr>
      <t xml:space="preserve">자</t>
    </r>
    <r>
      <rPr>
        <sz val="10"/>
        <rFont val="Malgun Gothic"/>
        <family val="0"/>
        <charset val="1"/>
      </rPr>
      <t xml:space="preserve">·20</t>
    </r>
    <r>
      <rPr>
        <sz val="10"/>
        <rFont val="Noto Sans CJK SC"/>
        <family val="2"/>
      </rPr>
      <t xml:space="preserve">자는 가입 성공</t>
    </r>
  </si>
  <si>
    <t xml:space="preserve">UserDto @Size(min=5, max=20)</t>
  </si>
  <si>
    <t xml:space="preserve">Medium</t>
  </si>
  <si>
    <t xml:space="preserve">JN-07, JN-08, JN-09, JN-10</t>
  </si>
  <si>
    <r>
      <rPr>
        <sz val="10"/>
        <rFont val="Noto Sans CJK SC"/>
        <family val="2"/>
      </rPr>
      <t xml:space="preserve">화면은 </t>
    </r>
    <r>
      <rPr>
        <sz val="10"/>
        <rFont val="Malgun Gothic"/>
        <family val="0"/>
        <charset val="1"/>
      </rPr>
      <t xml:space="preserve">maxlength=20, 21</t>
    </r>
    <r>
      <rPr>
        <sz val="10"/>
        <rFont val="Noto Sans CJK SC"/>
        <family val="2"/>
      </rPr>
      <t xml:space="preserve">자는 </t>
    </r>
    <r>
      <rPr>
        <sz val="10"/>
        <rFont val="Malgun Gothic"/>
        <family val="0"/>
        <charset val="1"/>
      </rPr>
      <t xml:space="preserve">API</t>
    </r>
    <r>
      <rPr>
        <sz val="10"/>
        <rFont val="Noto Sans CJK SC"/>
        <family val="2"/>
      </rPr>
      <t xml:space="preserve">로만 검증 가능</t>
    </r>
  </si>
  <si>
    <t xml:space="preserve">REQ-F-04</t>
  </si>
  <si>
    <r>
      <rPr>
        <sz val="10"/>
        <rFont val="Noto Sans CJK SC"/>
        <family val="2"/>
      </rPr>
      <t xml:space="preserve">비밀번호는 영문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숫자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특수문자를 포함한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자 이상이어야 한다</t>
    </r>
  </si>
  <si>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특수문자 누락은 </t>
    </r>
    <r>
      <rPr>
        <sz val="10"/>
        <rFont val="Malgun Gothic"/>
        <family val="0"/>
        <charset val="1"/>
      </rPr>
      <t xml:space="preserve">400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pw_error, </t>
    </r>
    <r>
      <rPr>
        <sz val="10"/>
        <rFont val="Noto Sans CJK SC"/>
        <family val="2"/>
      </rPr>
      <t xml:space="preserve">규칙을 충족한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자는 가입 성공</t>
    </r>
  </si>
  <si>
    <t xml:space="preserve">UserDto @Pattern</t>
  </si>
  <si>
    <t xml:space="preserve">JN-11, JN-12, JN-13</t>
  </si>
  <si>
    <t xml:space="preserve">REQ-F-05</t>
  </si>
  <si>
    <t xml:space="preserve">비밀번호 최대 길이를 제한한다</t>
  </si>
  <si>
    <r>
      <rPr>
        <sz val="10"/>
        <rFont val="Malgun Gothic"/>
        <family val="0"/>
        <charset val="1"/>
      </rPr>
      <t xml:space="preserve">BCrypt </t>
    </r>
    <r>
      <rPr>
        <sz val="10"/>
        <rFont val="Noto Sans CJK SC"/>
        <family val="2"/>
      </rPr>
      <t xml:space="preserve">한도</t>
    </r>
    <r>
      <rPr>
        <sz val="10"/>
        <rFont val="Malgun Gothic"/>
        <family val="0"/>
        <charset val="1"/>
      </rPr>
      <t xml:space="preserve">(72</t>
    </r>
    <r>
      <rPr>
        <sz val="10"/>
        <rFont val="Noto Sans CJK SC"/>
        <family val="2"/>
      </rPr>
      <t xml:space="preserve">바이트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를 넘는 비밀번호는 가입 단계에서 거부한다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8~64</t>
    </r>
    <r>
      <rPr>
        <sz val="10"/>
        <rFont val="Noto Sans CJK SC"/>
        <family val="2"/>
      </rPr>
      <t xml:space="preserve">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</si>
  <si>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JN-14 </t>
    </r>
    <r>
      <rPr>
        <sz val="10"/>
        <rFont val="Noto Sans CJK SC"/>
        <family val="2"/>
      </rPr>
      <t xml:space="preserve">실패 분석</t>
    </r>
  </si>
  <si>
    <t xml:space="preserve">JN-14</t>
  </si>
  <si>
    <t xml:space="preserve">DEF-003</t>
  </si>
  <si>
    <r>
      <rPr>
        <sz val="10"/>
        <rFont val="Noto Sans CJK SC"/>
        <family val="2"/>
      </rPr>
      <t xml:space="preserve">최소 길이만 있고 최대 길이가 정의되지 않아 결함 발생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요구사항 누락</t>
    </r>
    <r>
      <rPr>
        <sz val="10"/>
        <rFont val="Malgun Gothic"/>
        <family val="0"/>
        <charset val="1"/>
      </rPr>
      <t xml:space="preserve">)</t>
    </r>
  </si>
  <si>
    <t xml:space="preserve">REQ-F-06</t>
  </si>
  <si>
    <t xml:space="preserve">이미 가입된 아이디로는 가입할 수 없다</t>
  </si>
  <si>
    <r>
      <rPr>
        <sz val="10"/>
        <rFont val="Noto Sans CJK SC"/>
        <family val="2"/>
      </rPr>
      <t xml:space="preserve">중복 아이디 가입 시 </t>
    </r>
    <r>
      <rPr>
        <sz val="10"/>
        <rFont val="Malgun Gothic"/>
        <family val="0"/>
        <charset val="1"/>
      </rPr>
      <t xml:space="preserve">400, "</t>
    </r>
    <r>
      <rPr>
        <sz val="10"/>
        <rFont val="Noto Sans CJK SC"/>
        <family val="2"/>
      </rPr>
      <t xml:space="preserve">이미 존재하는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입니다</t>
    </r>
    <r>
      <rPr>
        <sz val="10"/>
        <rFont val="Malgun Gothic"/>
        <family val="0"/>
        <charset val="1"/>
      </rPr>
      <t xml:space="preserve">.", </t>
    </r>
    <r>
      <rPr>
        <sz val="10"/>
        <rFont val="Noto Sans CJK SC"/>
        <family val="2"/>
      </rPr>
      <t xml:space="preserve">행 수 변화 없음</t>
    </r>
  </si>
  <si>
    <t xml:space="preserve">JN-06, JN-15</t>
  </si>
  <si>
    <t xml:space="preserve">REQ-F-07</t>
  </si>
  <si>
    <r>
      <rPr>
        <sz val="10"/>
        <rFont val="Noto Sans CJK SC"/>
        <family val="2"/>
      </rPr>
      <t xml:space="preserve">회원가입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로그인</t>
    </r>
  </si>
  <si>
    <t xml:space="preserve">아이디는 대소문자를 구분하지 않는다</t>
  </si>
  <si>
    <r>
      <rPr>
        <sz val="10"/>
        <rFont val="Noto Sans CJK SC"/>
        <family val="2"/>
      </rPr>
      <t xml:space="preserve">대소문자만 다른 아이디로 로그인되고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아이디로 보아 중복 가입을 막는다</t>
    </r>
  </si>
  <si>
    <r>
      <rPr>
        <sz val="10"/>
        <rFont val="Malgun Gothic"/>
        <family val="0"/>
        <charset val="1"/>
      </rPr>
      <t xml:space="preserve">L-09 </t>
    </r>
    <r>
      <rPr>
        <sz val="10"/>
        <rFont val="Noto Sans CJK SC"/>
        <family val="2"/>
      </rPr>
      <t xml:space="preserve">관찰</t>
    </r>
    <r>
      <rPr>
        <sz val="10"/>
        <rFont val="Malgun Gothic"/>
        <family val="0"/>
        <charset val="1"/>
      </rPr>
      <t xml:space="preserve">, DB </t>
    </r>
    <r>
      <rPr>
        <sz val="10"/>
        <rFont val="Noto Sans CJK SC"/>
        <family val="2"/>
      </rPr>
      <t xml:space="preserve">콜레이션 </t>
    </r>
    <r>
      <rPr>
        <sz val="10"/>
        <rFont val="Malgun Gothic"/>
        <family val="0"/>
        <charset val="1"/>
      </rPr>
      <t xml:space="preserve">utf8mb4_0900_ai_ci</t>
    </r>
  </si>
  <si>
    <t xml:space="preserve">L-09, JN-15</t>
  </si>
  <si>
    <t xml:space="preserve">별도 정책이 없어 현재 동작을 정책으로 정함</t>
  </si>
  <si>
    <t xml:space="preserve">REQ-F-08</t>
  </si>
  <si>
    <t xml:space="preserve">가입 처리에 실패하면 실패 응답을 돌려준다</t>
  </si>
  <si>
    <r>
      <rPr>
        <sz val="10"/>
        <rFont val="Noto Sans CJK SC"/>
        <family val="2"/>
      </rPr>
      <t xml:space="preserve">저장되지 않은 요청은 </t>
    </r>
    <r>
      <rPr>
        <sz val="10"/>
        <rFont val="Malgun Gothic"/>
        <family val="0"/>
        <charset val="1"/>
      </rPr>
      <t xml:space="preserve">200</t>
    </r>
    <r>
      <rPr>
        <sz val="10"/>
        <rFont val="Noto Sans CJK SC"/>
        <family val="2"/>
      </rPr>
      <t xml:space="preserve">으로 응답하지 않는다 </t>
    </r>
    <r>
      <rPr>
        <sz val="10"/>
        <rFont val="Malgun Gothic"/>
        <family val="0"/>
        <charset val="1"/>
      </rPr>
      <t xml:space="preserve">(4xx/5xx</t>
    </r>
    <r>
      <rPr>
        <sz val="10"/>
        <rFont val="Noto Sans CJK SC"/>
        <family val="2"/>
      </rPr>
      <t xml:space="preserve">와 원인 안내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</si>
  <si>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JN-03 </t>
    </r>
    <r>
      <rPr>
        <sz val="10"/>
        <rFont val="Noto Sans CJK SC"/>
        <family val="2"/>
      </rPr>
      <t xml:space="preserve">관찰</t>
    </r>
    <r>
      <rPr>
        <sz val="10"/>
        <rFont val="Malgun Gothic"/>
        <family val="0"/>
        <charset val="1"/>
      </rPr>
      <t xml:space="preserve">, LoginService catch </t>
    </r>
    <r>
      <rPr>
        <sz val="10"/>
        <rFont val="Noto Sans CJK SC"/>
        <family val="2"/>
      </rPr>
      <t xml:space="preserve">분석</t>
    </r>
  </si>
  <si>
    <t xml:space="preserve">JN-03</t>
  </si>
  <si>
    <t xml:space="preserve">DEF-004</t>
  </si>
  <si>
    <r>
      <rPr>
        <sz val="10"/>
        <rFont val="Noto Sans CJK SC"/>
        <family val="2"/>
      </rPr>
      <t xml:space="preserve">예외를 </t>
    </r>
    <r>
      <rPr>
        <sz val="10"/>
        <rFont val="Malgun Gothic"/>
        <family val="0"/>
        <charset val="1"/>
      </rPr>
      <t xml:space="preserve">catch</t>
    </r>
    <r>
      <rPr>
        <sz val="10"/>
        <rFont val="Noto Sans CJK SC"/>
        <family val="2"/>
      </rPr>
      <t xml:space="preserve">에서 삼켜 저장 없이 </t>
    </r>
    <r>
      <rPr>
        <sz val="10"/>
        <rFont val="Malgun Gothic"/>
        <family val="0"/>
        <charset val="1"/>
      </rPr>
      <t xml:space="preserve">200 {} </t>
    </r>
    <r>
      <rPr>
        <sz val="10"/>
        <rFont val="Noto Sans CJK SC"/>
        <family val="2"/>
      </rPr>
      <t xml:space="preserve">응답</t>
    </r>
    <r>
      <rPr>
        <sz val="10"/>
        <rFont val="Malgun Gothic"/>
        <family val="0"/>
        <charset val="1"/>
      </rPr>
      <t xml:space="preserve">. xfail</t>
    </r>
    <r>
      <rPr>
        <sz val="10"/>
        <rFont val="Noto Sans CJK SC"/>
        <family val="2"/>
      </rPr>
      <t xml:space="preserve">로 추적 중</t>
    </r>
  </si>
  <si>
    <t xml:space="preserve">REQ-F-09</t>
  </si>
  <si>
    <t xml:space="preserve">로그인</t>
  </si>
  <si>
    <r>
      <rPr>
        <sz val="10"/>
        <rFont val="Noto Sans CJK SC"/>
        <family val="2"/>
      </rPr>
      <t xml:space="preserve">올바른 아이디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비밀번호로 로그인하면 세션을 만들고 이용권 화면으로 이동한다</t>
    </r>
  </si>
  <si>
    <r>
      <rPr>
        <sz val="10"/>
        <rFont val="Malgun Gothic"/>
        <family val="0"/>
        <charset val="1"/>
      </rPr>
      <t xml:space="preserve">200 </t>
    </r>
    <r>
      <rPr>
        <sz val="10"/>
        <rFont val="Noto Sans CJK SC"/>
        <family val="2"/>
      </rPr>
      <t xml:space="preserve">응답 후 </t>
    </r>
    <r>
      <rPr>
        <sz val="10"/>
        <rFont val="Malgun Gothic"/>
        <family val="0"/>
        <charset val="1"/>
      </rPr>
      <t xml:space="preserve">/passes</t>
    </r>
    <r>
      <rPr>
        <sz val="10"/>
        <rFont val="Noto Sans CJK SC"/>
        <family val="2"/>
      </rPr>
      <t xml:space="preserve">로 이동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회원 인사 문구 표시</t>
    </r>
  </si>
  <si>
    <t xml:space="preserve">LoginController, login.mustache</t>
  </si>
  <si>
    <t xml:space="preserve">L-01, LA-01</t>
  </si>
  <si>
    <t xml:space="preserve">REQ-F-10</t>
  </si>
  <si>
    <t xml:space="preserve">로그인 실패 원인을 구분해 안내한다</t>
  </si>
  <si>
    <r>
      <rPr>
        <sz val="10"/>
        <rFont val="Noto Sans CJK SC"/>
        <family val="2"/>
      </rPr>
      <t xml:space="preserve">없는 아이디는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존재하지 않는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입니다</t>
    </r>
    <r>
      <rPr>
        <sz val="10"/>
        <rFont val="Malgun Gothic"/>
        <family val="0"/>
        <charset val="1"/>
      </rPr>
      <t xml:space="preserve">.", </t>
    </r>
    <r>
      <rPr>
        <sz val="10"/>
        <rFont val="Noto Sans CJK SC"/>
        <family val="2"/>
      </rPr>
      <t xml:space="preserve">틀린 비밀번호는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비밀번호가 일치하지 않습니다</t>
    </r>
    <r>
      <rPr>
        <sz val="10"/>
        <rFont val="Malgun Gothic"/>
        <family val="0"/>
        <charset val="1"/>
      </rPr>
      <t xml:space="preserve">." (400)</t>
    </r>
  </si>
  <si>
    <t xml:space="preserve">LoginService.isUser()</t>
  </si>
  <si>
    <t xml:space="preserve">L-02, L-03, L-04, L-05, LA-03, LA-04</t>
  </si>
  <si>
    <t xml:space="preserve">REQ-F-11</t>
  </si>
  <si>
    <r>
      <rPr>
        <sz val="10"/>
        <rFont val="Noto Sans CJK SC"/>
        <family val="2"/>
      </rPr>
      <t xml:space="preserve">비밀번호 입력 후 </t>
    </r>
    <r>
      <rPr>
        <sz val="10"/>
        <rFont val="Malgun Gothic"/>
        <family val="0"/>
        <charset val="1"/>
      </rPr>
      <t xml:space="preserve">Enter </t>
    </r>
    <r>
      <rPr>
        <sz val="10"/>
        <rFont val="Noto Sans CJK SC"/>
        <family val="2"/>
      </rPr>
      <t xml:space="preserve">키로 로그인할 수 있다</t>
    </r>
  </si>
  <si>
    <r>
      <rPr>
        <sz val="10"/>
        <rFont val="Malgun Gothic"/>
        <family val="0"/>
        <charset val="1"/>
      </rPr>
      <t xml:space="preserve">Enter </t>
    </r>
    <r>
      <rPr>
        <sz val="10"/>
        <rFont val="Noto Sans CJK SC"/>
        <family val="2"/>
      </rPr>
      <t xml:space="preserve">제출 시 버튼 클릭과 같은 결과</t>
    </r>
  </si>
  <si>
    <t xml:space="preserve">login.mustache checkEnter()</t>
  </si>
  <si>
    <t xml:space="preserve">Low</t>
  </si>
  <si>
    <t xml:space="preserve">L-06</t>
  </si>
  <si>
    <t xml:space="preserve">REQ-F-12</t>
  </si>
  <si>
    <t xml:space="preserve">로그아웃하면 세션을 종료하고 로그인 화면으로 이동한다</t>
  </si>
  <si>
    <r>
      <rPr>
        <sz val="10"/>
        <rFont val="Malgun Gothic"/>
        <family val="0"/>
        <charset val="1"/>
      </rPr>
      <t xml:space="preserve">/login </t>
    </r>
    <r>
      <rPr>
        <sz val="10"/>
        <rFont val="Noto Sans CJK SC"/>
        <family val="2"/>
      </rPr>
      <t xml:space="preserve">이동 후 </t>
    </r>
    <r>
      <rPr>
        <sz val="10"/>
        <rFont val="Malgun Gothic"/>
        <family val="0"/>
        <charset val="1"/>
      </rPr>
      <t xml:space="preserve">/passes </t>
    </r>
    <r>
      <rPr>
        <sz val="10"/>
        <rFont val="Noto Sans CJK SC"/>
        <family val="2"/>
      </rPr>
      <t xml:space="preserve">재접속 시 로그인 상태가 아님</t>
    </r>
  </si>
  <si>
    <t xml:space="preserve">LoginController /login/logout</t>
  </si>
  <si>
    <t xml:space="preserve">L-07</t>
  </si>
  <si>
    <t xml:space="preserve">REQ-F-13</t>
  </si>
  <si>
    <t xml:space="preserve">첫 로그인 시 기본 회원 그룹을 한 번만 부여한다</t>
  </si>
  <si>
    <r>
      <rPr>
        <sz val="10"/>
        <rFont val="Noto Sans CJK SC"/>
        <family val="2"/>
      </rPr>
      <t xml:space="preserve">첫 로그인 후 </t>
    </r>
    <r>
      <rPr>
        <sz val="10"/>
        <rFont val="Malgun Gothic"/>
        <family val="0"/>
        <charset val="1"/>
      </rPr>
      <t xml:space="preserve">user_group_mapping 1</t>
    </r>
    <r>
      <rPr>
        <sz val="10"/>
        <rFont val="Noto Sans CJK SC"/>
        <family val="2"/>
      </rPr>
      <t xml:space="preserve">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재로그인해도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행 유지</t>
    </r>
  </si>
  <si>
    <t xml:space="preserve">UserService.setUserGroup()</t>
  </si>
  <si>
    <t xml:space="preserve">L-11, L-12</t>
  </si>
  <si>
    <t xml:space="preserve">REQ-F-14</t>
  </si>
  <si>
    <t xml:space="preserve">관리자</t>
  </si>
  <si>
    <r>
      <rPr>
        <sz val="10"/>
        <rFont val="Noto Sans CJK SC"/>
        <family val="2"/>
      </rPr>
      <t xml:space="preserve">대시보드는 기준일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일 전부터 기준일까지의 통계를 보여 주고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기준일을 생략하면 오늘을 기준으로 한다</t>
    </r>
  </si>
  <si>
    <r>
      <rPr>
        <sz val="10"/>
        <rFont val="Malgun Gothic"/>
        <family val="0"/>
        <charset val="1"/>
      </rPr>
      <t xml:space="preserve">?to </t>
    </r>
    <r>
      <rPr>
        <sz val="10"/>
        <rFont val="Noto Sans CJK SC"/>
        <family val="2"/>
      </rPr>
      <t xml:space="preserve">없이 접속해도 오류 없이 표시</t>
    </r>
    <r>
      <rPr>
        <sz val="10"/>
        <rFont val="Malgun Gothic"/>
        <family val="0"/>
        <charset val="1"/>
      </rPr>
      <t xml:space="preserve">, ?to=yyyy-MM-dd </t>
    </r>
    <r>
      <rPr>
        <sz val="10"/>
        <rFont val="Noto Sans CJK SC"/>
        <family val="2"/>
      </rPr>
      <t xml:space="preserve">지정 시 해당 기간 표시</t>
    </r>
  </si>
  <si>
    <t xml:space="preserve">AdminViewController.home(), StatisticsService</t>
  </si>
  <si>
    <t xml:space="preserve">AD-01, AD-02</t>
  </si>
  <si>
    <t xml:space="preserve">ET2</t>
  </si>
  <si>
    <r>
      <rPr>
        <sz val="10"/>
        <rFont val="Noto Sans CJK SC"/>
        <family val="2"/>
      </rPr>
      <t xml:space="preserve">충족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수정 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</si>
  <si>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수정 전에는 </t>
    </r>
    <r>
      <rPr>
        <sz val="10"/>
        <rFont val="Malgun Gothic"/>
        <family val="0"/>
        <charset val="1"/>
      </rPr>
      <t xml:space="preserve">?to </t>
    </r>
    <r>
      <rPr>
        <sz val="10"/>
        <rFont val="Noto Sans CJK SC"/>
        <family val="2"/>
      </rPr>
      <t xml:space="preserve">없이 접속하면 </t>
    </r>
    <r>
      <rPr>
        <sz val="10"/>
        <rFont val="Malgun Gothic"/>
        <family val="0"/>
        <charset val="1"/>
      </rPr>
      <t xml:space="preserve">400</t>
    </r>
  </si>
  <si>
    <t xml:space="preserve">REQ-F-15</t>
  </si>
  <si>
    <r>
      <rPr>
        <sz val="10"/>
        <rFont val="Noto Sans CJK SC"/>
        <family val="2"/>
      </rPr>
      <t xml:space="preserve">관리자는 패키지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회원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시작 일시로 이용권 일괄 지급을 등록할 수 있다</t>
    </r>
  </si>
  <si>
    <r>
      <rPr>
        <sz val="10"/>
        <rFont val="Noto Sans CJK SC"/>
        <family val="2"/>
      </rPr>
      <t xml:space="preserve">등록 후 </t>
    </r>
    <r>
      <rPr>
        <sz val="10"/>
        <rFont val="Malgun Gothic"/>
        <family val="0"/>
        <charset val="1"/>
      </rPr>
      <t xml:space="preserve">bulk_pass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READY</t>
    </r>
    <r>
      <rPr>
        <sz val="10"/>
        <rFont val="Noto Sans CJK SC"/>
        <family val="2"/>
      </rPr>
      <t xml:space="preserve">로 저장되고 목록에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지급 전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으로 표시</t>
    </r>
  </si>
  <si>
    <t xml:space="preserve">AdminViewController, BulkPassService</t>
  </si>
  <si>
    <t xml:space="preserve">AD-04</t>
  </si>
  <si>
    <t xml:space="preserve">REQ-F-16</t>
  </si>
  <si>
    <r>
      <rPr>
        <sz val="10"/>
        <rFont val="Noto Sans CJK SC"/>
        <family val="2"/>
      </rPr>
      <t xml:space="preserve">이용권 시작 일시는 </t>
    </r>
    <r>
      <rPr>
        <sz val="10"/>
        <rFont val="Malgun Gothic"/>
        <family val="0"/>
        <charset val="1"/>
      </rPr>
      <t xml:space="preserve">yyyy-MM-dd HH:mm </t>
    </r>
    <r>
      <rPr>
        <sz val="10"/>
        <rFont val="Noto Sans CJK SC"/>
        <family val="2"/>
      </rPr>
      <t xml:space="preserve">형식만 받는다</t>
    </r>
  </si>
  <si>
    <r>
      <rPr>
        <sz val="10"/>
        <rFont val="Noto Sans CJK SC"/>
        <family val="2"/>
      </rPr>
      <t xml:space="preserve">형식이 틀리면 안내 알림 후 제출 중단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저장 안 됨</t>
    </r>
  </si>
  <si>
    <t xml:space="preserve">bulk-pass.html validateForm()</t>
  </si>
  <si>
    <t xml:space="preserve">AD-05</t>
  </si>
  <si>
    <t xml:space="preserve">REQ-F-17</t>
  </si>
  <si>
    <t xml:space="preserve">관리자 로그인에 실패하면 실패를 알린다</t>
  </si>
  <si>
    <t xml:space="preserve">틀린 비밀번호로 로그인 시 실패 알림 표시</t>
  </si>
  <si>
    <t xml:space="preserve">탐색적 테스트</t>
  </si>
  <si>
    <t xml:space="preserve">AD-03</t>
  </si>
  <si>
    <t xml:space="preserve">REQ-F-18</t>
  </si>
  <si>
    <t xml:space="preserve">배치</t>
  </si>
  <si>
    <r>
      <rPr>
        <sz val="10"/>
        <rFont val="Malgun Gothic"/>
        <family val="0"/>
        <charset val="1"/>
      </rPr>
      <t xml:space="preserve">addPassesJob</t>
    </r>
    <r>
      <rPr>
        <sz val="10"/>
        <rFont val="Noto Sans CJK SC"/>
        <family val="2"/>
      </rPr>
      <t xml:space="preserve">은 </t>
    </r>
    <r>
      <rPr>
        <sz val="10"/>
        <rFont val="Malgun Gothic"/>
        <family val="0"/>
        <charset val="1"/>
      </rPr>
      <t xml:space="preserve">READY </t>
    </r>
    <r>
      <rPr>
        <sz val="10"/>
        <rFont val="Noto Sans CJK SC"/>
        <family val="2"/>
      </rPr>
      <t xml:space="preserve">상태이고 시작 일시가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현재 −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이후인 일괄 지급 건을 이용권과 예약 슬롯으로 전개한다</t>
    </r>
  </si>
  <si>
    <r>
      <rPr>
        <sz val="10"/>
        <rFont val="Noto Sans CJK SC"/>
        <family val="2"/>
      </rPr>
      <t xml:space="preserve">대상 건은 </t>
    </r>
    <r>
      <rPr>
        <sz val="10"/>
        <rFont val="Malgun Gothic"/>
        <family val="0"/>
        <charset val="1"/>
      </rPr>
      <t xml:space="preserve">pass·booking</t>
    </r>
    <r>
      <rPr>
        <sz val="10"/>
        <rFont val="Noto Sans CJK SC"/>
        <family val="2"/>
      </rPr>
      <t xml:space="preserve">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건씩 생기고 </t>
    </r>
    <r>
      <rPr>
        <sz val="10"/>
        <rFont val="Malgun Gothic"/>
        <family val="0"/>
        <charset val="1"/>
      </rPr>
      <t xml:space="preserve">COMPLETED</t>
    </r>
    <r>
      <rPr>
        <sz val="10"/>
        <rFont val="Noto Sans CJK SC"/>
        <family val="2"/>
      </rPr>
      <t xml:space="preserve">로 바뀜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기간 밖 건은 </t>
    </r>
    <r>
      <rPr>
        <sz val="10"/>
        <rFont val="Malgun Gothic"/>
        <family val="0"/>
        <charset val="1"/>
      </rPr>
      <t xml:space="preserve">READY </t>
    </r>
    <r>
      <rPr>
        <sz val="10"/>
        <rFont val="Noto Sans CJK SC"/>
        <family val="2"/>
      </rPr>
      <t xml:space="preserve">유지</t>
    </r>
  </si>
  <si>
    <t xml:space="preserve">AddPassesTasklet</t>
  </si>
  <si>
    <t xml:space="preserve">BT-10, BT-11, BT-14</t>
  </si>
  <si>
    <t xml:space="preserve">REQ-F-19</t>
  </si>
  <si>
    <r>
      <rPr>
        <sz val="10"/>
        <rFont val="Noto Sans CJK SC"/>
        <family val="2"/>
      </rPr>
      <t xml:space="preserve">같은 </t>
    </r>
    <r>
      <rPr>
        <sz val="10"/>
        <rFont val="Malgun Gothic"/>
        <family val="0"/>
        <charset val="1"/>
      </rPr>
      <t xml:space="preserve">Job</t>
    </r>
    <r>
      <rPr>
        <sz val="10"/>
        <rFont val="Noto Sans CJK SC"/>
        <family val="2"/>
      </rPr>
      <t xml:space="preserve">이 실행 중이면 중복 실행을 막는다</t>
    </r>
  </si>
  <si>
    <r>
      <rPr>
        <sz val="10"/>
        <rFont val="Noto Sans CJK SC"/>
        <family val="2"/>
      </rPr>
      <t xml:space="preserve">실행 중 기록이 있으면 실행 거부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기록 정리 후 재실행 가능</t>
    </r>
  </si>
  <si>
    <t xml:space="preserve">Spring Batch JobLauncher</t>
  </si>
  <si>
    <t xml:space="preserve">BT-15</t>
  </si>
  <si>
    <t xml:space="preserve">비정상 종료 후 자동 복구 절차는 없음</t>
  </si>
  <si>
    <t xml:space="preserve">REQ-F-20</t>
  </si>
  <si>
    <t xml:space="preserve">예약</t>
  </si>
  <si>
    <t xml:space="preserve">시간이 겹치는 예약은 차단한다</t>
  </si>
  <si>
    <t xml:space="preserve">기존 예약과 시간이 겹치면 예약이 거부되고 안내</t>
  </si>
  <si>
    <r>
      <rPr>
        <sz val="10"/>
        <rFont val="Noto Sans CJK SC"/>
        <family val="2"/>
      </rPr>
      <t xml:space="preserve">프로젝트 목표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개인 프로젝트 메모</t>
    </r>
    <r>
      <rPr>
        <sz val="10"/>
        <rFont val="Malgun Gothic"/>
        <family val="0"/>
        <charset val="1"/>
      </rPr>
      <t xml:space="preserve">)</t>
    </r>
  </si>
  <si>
    <t xml:space="preserve">BK-01</t>
  </si>
  <si>
    <t xml:space="preserve">예약 시나리오 설계 후 수행 예정</t>
  </si>
  <si>
    <t xml:space="preserve">REQ-F-21</t>
  </si>
  <si>
    <r>
      <rPr>
        <sz val="10"/>
        <rFont val="Noto Sans CJK SC"/>
        <family val="2"/>
      </rPr>
      <t xml:space="preserve">이용권 차감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강사 시간표 변경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회원 등록이 동시에 일어나도 정상 처리한다</t>
    </r>
  </si>
  <si>
    <r>
      <rPr>
        <sz val="10"/>
        <rFont val="Noto Sans CJK SC"/>
        <family val="2"/>
      </rPr>
      <t xml:space="preserve">동시 요청 후 잔여 횟수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예약 수 등 데이터가 일관됨</t>
    </r>
  </si>
  <si>
    <t xml:space="preserve">BK-02</t>
  </si>
  <si>
    <t xml:space="preserve">REQ-S-01</t>
  </si>
  <si>
    <r>
      <rPr>
        <sz val="10"/>
        <rFont val="Noto Sans CJK SC"/>
        <family val="2"/>
      </rPr>
      <t xml:space="preserve">비밀번호는 </t>
    </r>
    <r>
      <rPr>
        <sz val="10"/>
        <rFont val="Malgun Gothic"/>
        <family val="0"/>
        <charset val="1"/>
      </rPr>
      <t xml:space="preserve">BCrypt </t>
    </r>
    <r>
      <rPr>
        <sz val="10"/>
        <rFont val="Noto Sans CJK SC"/>
        <family val="2"/>
      </rPr>
      <t xml:space="preserve">해시로 저장한다</t>
    </r>
  </si>
  <si>
    <r>
      <rPr>
        <sz val="10"/>
        <rFont val="Malgun Gothic"/>
        <family val="0"/>
        <charset val="1"/>
      </rPr>
      <t xml:space="preserve">DB </t>
    </r>
    <r>
      <rPr>
        <sz val="10"/>
        <rFont val="Noto Sans CJK SC"/>
        <family val="2"/>
      </rPr>
      <t xml:space="preserve">값이 </t>
    </r>
    <r>
      <rPr>
        <sz val="10"/>
        <rFont val="Malgun Gothic"/>
        <family val="0"/>
        <charset val="1"/>
      </rPr>
      <t xml:space="preserve">$2a$10$</t>
    </r>
    <r>
      <rPr>
        <sz val="10"/>
        <rFont val="Noto Sans CJK SC"/>
        <family val="2"/>
      </rPr>
      <t xml:space="preserve">로 시작하고 길이 </t>
    </r>
    <r>
      <rPr>
        <sz val="10"/>
        <rFont val="Malgun Gothic"/>
        <family val="0"/>
        <charset val="1"/>
      </rPr>
      <t xml:space="preserve">60, </t>
    </r>
    <r>
      <rPr>
        <sz val="10"/>
        <rFont val="Noto Sans CJK SC"/>
        <family val="2"/>
      </rPr>
      <t xml:space="preserve">원문과 다름</t>
    </r>
  </si>
  <si>
    <t xml:space="preserve">LoginService.encryptPassword()</t>
  </si>
  <si>
    <t xml:space="preserve">SC-01, JN-01</t>
  </si>
  <si>
    <t xml:space="preserve">REQ-S-02</t>
  </si>
  <si>
    <t xml:space="preserve">응답 본문과 브라우저 로그에 비밀번호 원문을 포함하지 않는다</t>
  </si>
  <si>
    <r>
      <rPr>
        <sz val="10"/>
        <rFont val="Noto Sans CJK SC"/>
        <family val="2"/>
      </rPr>
      <t xml:space="preserve">로그인 응답 본문에 비밀번호가 없고 </t>
    </r>
    <r>
      <rPr>
        <sz val="10"/>
        <rFont val="Malgun Gothic"/>
        <family val="0"/>
        <charset val="1"/>
      </rPr>
      <t xml:space="preserve">Console</t>
    </r>
    <r>
      <rPr>
        <sz val="10"/>
        <rFont val="Noto Sans CJK SC"/>
        <family val="2"/>
      </rPr>
      <t xml:space="preserve">에 출력되지 않음</t>
    </r>
  </si>
  <si>
    <r>
      <rPr>
        <sz val="10"/>
        <rFont val="Noto Sans CJK SC"/>
        <family val="2"/>
      </rPr>
      <t xml:space="preserve">탐색적 테스트 </t>
    </r>
    <r>
      <rPr>
        <sz val="10"/>
        <rFont val="Malgun Gothic"/>
        <family val="0"/>
        <charset val="1"/>
      </rPr>
      <t xml:space="preserve">(Network </t>
    </r>
    <r>
      <rPr>
        <sz val="10"/>
        <rFont val="Noto Sans CJK SC"/>
        <family val="2"/>
      </rPr>
      <t xml:space="preserve">탭</t>
    </r>
    <r>
      <rPr>
        <sz val="10"/>
        <rFont val="Malgun Gothic"/>
        <family val="0"/>
        <charset val="1"/>
      </rPr>
      <t xml:space="preserve">)</t>
    </r>
  </si>
  <si>
    <t xml:space="preserve">LA-02, SC-02</t>
  </si>
  <si>
    <t xml:space="preserve">DEF-001</t>
  </si>
  <si>
    <r>
      <rPr>
        <sz val="10"/>
        <rFont val="Noto Sans CJK SC"/>
        <family val="2"/>
      </rPr>
      <t xml:space="preserve">수정 전에는 응답에 아이디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 원문 포함</t>
    </r>
  </si>
  <si>
    <t xml:space="preserve">REQ-S-03</t>
  </si>
  <si>
    <t xml:space="preserve">입력값으로 인증을 우회할 수 없다</t>
  </si>
  <si>
    <r>
      <rPr>
        <sz val="10"/>
        <rFont val="Noto Sans CJK SC"/>
        <family val="2"/>
      </rPr>
      <t xml:space="preserve">아이디에 </t>
    </r>
    <r>
      <rPr>
        <sz val="10"/>
        <rFont val="Malgun Gothic"/>
        <family val="0"/>
        <charset val="1"/>
      </rPr>
      <t xml:space="preserve">SQL </t>
    </r>
    <r>
      <rPr>
        <sz val="10"/>
        <rFont val="Noto Sans CJK SC"/>
        <family val="2"/>
      </rPr>
      <t xml:space="preserve">구문을 넣어도 로그인 실패</t>
    </r>
  </si>
  <si>
    <r>
      <rPr>
        <sz val="10"/>
        <rFont val="Malgun Gothic"/>
        <family val="0"/>
        <charset val="1"/>
      </rPr>
      <t xml:space="preserve">JPA </t>
    </r>
    <r>
      <rPr>
        <sz val="10"/>
        <rFont val="Noto Sans CJK SC"/>
        <family val="2"/>
      </rPr>
      <t xml:space="preserve">파라미터 바인딩</t>
    </r>
  </si>
  <si>
    <t xml:space="preserve">L-08</t>
  </si>
  <si>
    <t xml:space="preserve">REQ-S-04</t>
  </si>
  <si>
    <r>
      <rPr>
        <sz val="10"/>
        <rFont val="Noto Sans CJK SC"/>
        <family val="2"/>
      </rPr>
      <t xml:space="preserve">로그인하면 새 세션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를 발급한다</t>
    </r>
  </si>
  <si>
    <r>
      <rPr>
        <sz val="10"/>
        <rFont val="Noto Sans CJK SC"/>
        <family val="2"/>
      </rPr>
      <t xml:space="preserve">로그인 전후 </t>
    </r>
    <r>
      <rPr>
        <sz val="10"/>
        <rFont val="Malgun Gothic"/>
        <family val="0"/>
        <charset val="1"/>
      </rPr>
      <t xml:space="preserve">JSESSIONID</t>
    </r>
    <r>
      <rPr>
        <sz val="10"/>
        <rFont val="Noto Sans CJK SC"/>
        <family val="2"/>
      </rPr>
      <t xml:space="preserve">가 다름</t>
    </r>
  </si>
  <si>
    <r>
      <rPr>
        <sz val="10"/>
        <rFont val="Noto Sans CJK SC"/>
        <family val="2"/>
      </rPr>
      <t xml:space="preserve">탐색적 테스트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개발자 도구</t>
    </r>
    <r>
      <rPr>
        <sz val="10"/>
        <rFont val="Malgun Gothic"/>
        <family val="0"/>
        <charset val="1"/>
      </rPr>
      <t xml:space="preserve">)</t>
    </r>
  </si>
  <si>
    <t xml:space="preserve">L-10</t>
  </si>
  <si>
    <t xml:space="preserve">REQ-S-05</t>
  </si>
  <si>
    <r>
      <rPr>
        <sz val="10"/>
        <rFont val="Noto Sans CJK SC"/>
        <family val="2"/>
      </rPr>
      <t xml:space="preserve">관리자 페이지</t>
    </r>
    <r>
      <rPr>
        <sz val="10"/>
        <rFont val="Malgun Gothic"/>
        <family val="0"/>
        <charset val="1"/>
      </rPr>
      <t xml:space="preserve">(/admin/**)</t>
    </r>
    <r>
      <rPr>
        <sz val="10"/>
        <rFont val="Noto Sans CJK SC"/>
        <family val="2"/>
      </rPr>
      <t xml:space="preserve">는 관리자 계정만 접근할 수 있다</t>
    </r>
  </si>
  <si>
    <r>
      <rPr>
        <sz val="10"/>
        <rFont val="Noto Sans CJK SC"/>
        <family val="2"/>
      </rPr>
      <t xml:space="preserve">인증 없이 또는 일반 계정으로 접근 시 </t>
    </r>
    <r>
      <rPr>
        <sz val="10"/>
        <rFont val="Malgun Gothic"/>
        <family val="0"/>
        <charset val="1"/>
      </rPr>
      <t xml:space="preserve">401/403</t>
    </r>
  </si>
  <si>
    <r>
      <rPr>
        <sz val="10"/>
        <rFont val="Malgun Gothic"/>
        <family val="0"/>
        <charset val="1"/>
      </rPr>
      <t xml:space="preserve">SecurityConfig (hasRole ADMIN, Basic </t>
    </r>
    <r>
      <rPr>
        <sz val="10"/>
        <rFont val="Noto Sans CJK SC"/>
        <family val="2"/>
      </rPr>
      <t xml:space="preserve">인증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</si>
  <si>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없음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</si>
  <si>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연결된 </t>
    </r>
    <r>
      <rPr>
        <sz val="10"/>
        <rFont val="Malgun Gothic"/>
        <family val="0"/>
        <charset val="1"/>
      </rPr>
      <t xml:space="preserve">TC </t>
    </r>
    <r>
      <rPr>
        <sz val="10"/>
        <rFont val="Noto Sans CJK SC"/>
        <family val="2"/>
      </rPr>
      <t xml:space="preserve">없음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테스트 공백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비인증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일반 계정 접근 </t>
    </r>
    <r>
      <rPr>
        <sz val="10"/>
        <rFont val="Malgun Gothic"/>
        <family val="0"/>
        <charset val="1"/>
      </rPr>
      <t xml:space="preserve">TC </t>
    </r>
    <r>
      <rPr>
        <sz val="10"/>
        <rFont val="Noto Sans CJK SC"/>
        <family val="2"/>
      </rPr>
      <t xml:space="preserve">추가 필요</t>
    </r>
  </si>
  <si>
    <t xml:space="preserve">REQ-D-01</t>
  </si>
  <si>
    <r>
      <rPr>
        <sz val="10"/>
        <rFont val="Noto Sans CJK SC"/>
        <family val="2"/>
      </rPr>
      <t xml:space="preserve">대시보드 그래프의 날짜별 출석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취소 횟수는 </t>
    </r>
    <r>
      <rPr>
        <sz val="10"/>
        <rFont val="Malgun Gothic"/>
        <family val="0"/>
        <charset val="1"/>
      </rPr>
      <t xml:space="preserve">DB </t>
    </r>
    <r>
      <rPr>
        <sz val="10"/>
        <rFont val="Noto Sans CJK SC"/>
        <family val="2"/>
      </rPr>
      <t xml:space="preserve">집계와 같아야 한다</t>
    </r>
  </si>
  <si>
    <r>
      <rPr>
        <sz val="10"/>
        <rFont val="Noto Sans CJK SC"/>
        <family val="2"/>
      </rPr>
      <t xml:space="preserve">조회 기간의 모든 날짜가 그래프에 있고 값이 </t>
    </r>
    <r>
      <rPr>
        <sz val="10"/>
        <rFont val="Malgun Gothic"/>
        <family val="0"/>
        <charset val="1"/>
      </rPr>
      <t xml:space="preserve">DB </t>
    </r>
    <r>
      <rPr>
        <sz val="10"/>
        <rFont val="Noto Sans CJK SC"/>
        <family val="2"/>
      </rPr>
      <t xml:space="preserve">합계와 일치</t>
    </r>
  </si>
  <si>
    <t xml:space="preserve">StatisticsService.makeChartData()</t>
  </si>
  <si>
    <t xml:space="preserve">AD-06</t>
  </si>
  <si>
    <t xml:space="preserve">DEF-005</t>
  </si>
  <si>
    <t xml:space="preserve">수정 전에는 기준일 당일 통계 누락</t>
  </si>
  <si>
    <t xml:space="preserve">REQ-D-02</t>
  </si>
  <si>
    <t xml:space="preserve">공통</t>
  </si>
  <si>
    <r>
      <rPr>
        <sz val="10"/>
        <rFont val="Noto Sans CJK SC"/>
        <family val="2"/>
      </rPr>
      <t xml:space="preserve">웹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배치 서버와 </t>
    </r>
    <r>
      <rPr>
        <sz val="10"/>
        <rFont val="Malgun Gothic"/>
        <family val="0"/>
        <charset val="1"/>
      </rPr>
      <t xml:space="preserve">DB</t>
    </r>
    <r>
      <rPr>
        <sz val="10"/>
        <rFont val="Noto Sans CJK SC"/>
        <family val="2"/>
      </rPr>
      <t xml:space="preserve">는 같은 시간대를 기준으로 시각을 저장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조회한다</t>
    </r>
  </si>
  <si>
    <r>
      <rPr>
        <sz val="10"/>
        <rFont val="Noto Sans CJK SC"/>
        <family val="2"/>
      </rPr>
      <t xml:space="preserve">서버 시간대와 </t>
    </r>
    <r>
      <rPr>
        <sz val="10"/>
        <rFont val="Malgun Gothic"/>
        <family val="0"/>
        <charset val="1"/>
      </rPr>
      <t xml:space="preserve">JDBC serverTimezone</t>
    </r>
    <r>
      <rPr>
        <sz val="10"/>
        <rFont val="Noto Sans CJK SC"/>
        <family val="2"/>
      </rPr>
      <t xml:space="preserve">이 일치 </t>
    </r>
    <r>
      <rPr>
        <sz val="10"/>
        <rFont val="Malgun Gothic"/>
        <family val="0"/>
        <charset val="1"/>
      </rPr>
      <t xml:space="preserve">(Asia/Seoul)</t>
    </r>
  </si>
  <si>
    <r>
      <rPr>
        <sz val="10"/>
        <rFont val="Malgun Gothic"/>
        <family val="0"/>
        <charset val="1"/>
      </rPr>
      <t xml:space="preserve">AD-06 </t>
    </r>
    <r>
      <rPr>
        <sz val="10"/>
        <rFont val="Noto Sans CJK SC"/>
        <family val="2"/>
      </rPr>
      <t xml:space="preserve">실패 원인 분석</t>
    </r>
  </si>
  <si>
    <t xml:space="preserve">AD-06, BT-14</t>
  </si>
  <si>
    <r>
      <rPr>
        <sz val="10"/>
        <rFont val="Noto Sans CJK SC"/>
        <family val="2"/>
      </rPr>
      <t xml:space="preserve">시간대 기준이 정의되지 않아 결함 발생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요구사항 누락</t>
    </r>
    <r>
      <rPr>
        <sz val="10"/>
        <rFont val="Malgun Gothic"/>
        <family val="0"/>
        <charset val="1"/>
      </rPr>
      <t xml:space="preserve">)</t>
    </r>
  </si>
  <si>
    <t xml:space="preserve">REQ-D-03</t>
  </si>
  <si>
    <t xml:space="preserve">배치가 만든 예약 슬롯은 각각 실제 존재하는 이용권 하나에 연결된다</t>
  </si>
  <si>
    <r>
      <rPr>
        <sz val="10"/>
        <rFont val="Malgun Gothic"/>
        <family val="0"/>
        <charset val="1"/>
      </rPr>
      <t xml:space="preserve">booking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pass_seq</t>
    </r>
    <r>
      <rPr>
        <sz val="10"/>
        <rFont val="Noto Sans CJK SC"/>
        <family val="2"/>
      </rPr>
      <t xml:space="preserve">가 서로 다르고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존재하지 않는 </t>
    </r>
    <r>
      <rPr>
        <sz val="10"/>
        <rFont val="Malgun Gothic"/>
        <family val="0"/>
        <charset val="1"/>
      </rPr>
      <t xml:space="preserve">pass</t>
    </r>
    <r>
      <rPr>
        <sz val="10"/>
        <rFont val="Noto Sans CJK SC"/>
        <family val="2"/>
      </rPr>
      <t xml:space="preserve">를 가리키는 </t>
    </r>
    <r>
      <rPr>
        <sz val="10"/>
        <rFont val="Malgun Gothic"/>
        <family val="0"/>
        <charset val="1"/>
      </rPr>
      <t xml:space="preserve">booking 0</t>
    </r>
    <r>
      <rPr>
        <sz val="10"/>
        <rFont val="Noto Sans CJK SC"/>
        <family val="2"/>
      </rPr>
      <t xml:space="preserve">건</t>
    </r>
  </si>
  <si>
    <t xml:space="preserve">AddPassesTasklet.addBooking()</t>
  </si>
  <si>
    <t xml:space="preserve">BT-12, BT-13</t>
  </si>
  <si>
    <t xml:space="preserve">REQ-NF-01</t>
  </si>
  <si>
    <r>
      <rPr>
        <sz val="10"/>
        <rFont val="Noto Sans CJK SC"/>
        <family val="2"/>
      </rPr>
      <t xml:space="preserve">이용권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건을 배치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회로 처리한다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</si>
  <si>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건이 </t>
    </r>
    <r>
      <rPr>
        <sz val="10"/>
        <rFont val="Malgun Gothic"/>
        <family val="0"/>
        <charset val="1"/>
      </rPr>
      <t xml:space="preserve">timeout(300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안에 </t>
    </r>
    <r>
      <rPr>
        <sz val="10"/>
        <rFont val="Malgun Gothic"/>
        <family val="0"/>
        <charset val="1"/>
      </rPr>
      <t xml:space="preserve">COMPLETED, </t>
    </r>
    <r>
      <rPr>
        <sz val="10"/>
        <rFont val="Noto Sans CJK SC"/>
        <family val="2"/>
      </rPr>
      <t xml:space="preserve">처리 시간이 건수에 비례</t>
    </r>
  </si>
  <si>
    <r>
      <rPr>
        <sz val="10"/>
        <rFont val="Noto Sans CJK SC"/>
        <family val="2"/>
      </rPr>
      <t xml:space="preserve">프로젝트 목표 </t>
    </r>
    <r>
      <rPr>
        <sz val="10"/>
        <rFont val="Malgun Gothic"/>
        <family val="0"/>
        <charset val="1"/>
      </rPr>
      <t xml:space="preserve">(SW </t>
    </r>
    <r>
      <rPr>
        <sz val="10"/>
        <rFont val="Noto Sans CJK SC"/>
        <family val="2"/>
      </rPr>
      <t xml:space="preserve">요구사항</t>
    </r>
    <r>
      <rPr>
        <sz val="10"/>
        <rFont val="Malgun Gothic"/>
        <family val="0"/>
        <charset val="1"/>
      </rPr>
      <t xml:space="preserve">)</t>
    </r>
  </si>
  <si>
    <t xml:space="preserve">BT-01 ~ BT-09</t>
  </si>
  <si>
    <t xml:space="preserve">PERF-001</t>
  </si>
  <si>
    <r>
      <rPr>
        <sz val="10"/>
        <rFont val="Noto Sans CJK SC"/>
        <family val="2"/>
      </rPr>
      <t xml:space="preserve">개선 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건 </t>
    </r>
    <r>
      <rPr>
        <sz val="10"/>
        <rFont val="Malgun Gothic"/>
        <family val="0"/>
        <charset val="1"/>
      </rPr>
      <t xml:space="preserve">11.39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개선 전에는 </t>
    </r>
    <r>
      <rPr>
        <sz val="10"/>
        <rFont val="Malgun Gothic"/>
        <family val="0"/>
        <charset val="1"/>
      </rPr>
      <t xml:space="preserve">400</t>
    </r>
    <r>
      <rPr>
        <sz val="10"/>
        <rFont val="Noto Sans CJK SC"/>
        <family val="2"/>
      </rPr>
      <t xml:space="preserve">건도 </t>
    </r>
    <r>
      <rPr>
        <sz val="10"/>
        <rFont val="Malgun Gothic"/>
        <family val="0"/>
        <charset val="1"/>
      </rPr>
      <t xml:space="preserve">300</t>
    </r>
    <r>
      <rPr>
        <sz val="10"/>
        <rFont val="Noto Sans CJK SC"/>
        <family val="2"/>
      </rPr>
      <t xml:space="preserve">초 초과</t>
    </r>
  </si>
  <si>
    <t xml:space="preserve">REQ-NF-02</t>
  </si>
  <si>
    <t xml:space="preserve">이용권 등록 요청이 몰려도 유실 없이 처리한다</t>
  </si>
  <si>
    <r>
      <rPr>
        <sz val="10"/>
        <rFont val="Malgun Gothic"/>
        <family val="0"/>
        <charset val="1"/>
      </rPr>
      <t xml:space="preserve">VU 20</t>
    </r>
    <r>
      <rPr>
        <sz val="10"/>
        <rFont val="Noto Sans CJK SC"/>
        <family val="2"/>
      </rPr>
      <t xml:space="preserve">으로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건 등록 시 실패율 </t>
    </r>
    <r>
      <rPr>
        <sz val="10"/>
        <rFont val="Malgun Gothic"/>
        <family val="0"/>
        <charset val="1"/>
      </rPr>
      <t xml:space="preserve">0%, bulk_pass 1</t>
    </r>
    <r>
      <rPr>
        <sz val="10"/>
        <rFont val="Noto Sans CJK SC"/>
        <family val="2"/>
      </rPr>
      <t xml:space="preserve">만 건 저장</t>
    </r>
  </si>
  <si>
    <r>
      <rPr>
        <sz val="10"/>
        <rFont val="Noto Sans CJK SC"/>
        <family val="2"/>
      </rPr>
      <t xml:space="preserve">프로젝트 목표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부하 테스트 목적</t>
    </r>
    <r>
      <rPr>
        <sz val="10"/>
        <rFont val="Malgun Gothic"/>
        <family val="0"/>
        <charset val="1"/>
      </rPr>
      <t xml:space="preserve">)</t>
    </r>
  </si>
  <si>
    <t xml:space="preserve">PF-07, PF-08</t>
  </si>
  <si>
    <t xml:space="preserve">REQ-NF-03</t>
  </si>
  <si>
    <r>
      <rPr>
        <sz val="10"/>
        <rFont val="Noto Sans CJK SC"/>
        <family val="2"/>
      </rPr>
      <t xml:space="preserve">로그인 페이지는 동시 접속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명을 처리한다</t>
    </r>
  </si>
  <si>
    <r>
      <rPr>
        <sz val="10"/>
        <rFont val="Noto Sans CJK SC"/>
        <family val="2"/>
      </rPr>
      <t xml:space="preserve">목표 응답 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실패율 미정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임시 기준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0"/>
        <charset val="1"/>
      </rPr>
      <t xml:space="preserve">0%)</t>
    </r>
  </si>
  <si>
    <r>
      <rPr>
        <sz val="10"/>
        <rFont val="Noto Sans CJK SC"/>
        <family val="2"/>
      </rPr>
      <t xml:space="preserve">프로젝트 목표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동시 접속자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명</t>
    </r>
    <r>
      <rPr>
        <sz val="10"/>
        <rFont val="Malgun Gothic"/>
        <family val="0"/>
        <charset val="1"/>
      </rPr>
      <t xml:space="preserve">)</t>
    </r>
  </si>
  <si>
    <t xml:space="preserve">PF-01 ~ PF-06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</si>
  <si>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만 명에서 실패율 </t>
    </r>
    <r>
      <rPr>
        <sz val="10"/>
        <rFont val="Malgun Gothic"/>
        <family val="0"/>
        <charset val="1"/>
      </rPr>
      <t xml:space="preserve">47.84%. </t>
    </r>
    <r>
      <rPr>
        <sz val="10"/>
        <rFont val="Noto Sans CJK SC"/>
        <family val="2"/>
      </rPr>
      <t xml:space="preserve">판정 기준 확정과 부하 생성기 분리 후 재측정 필요</t>
    </r>
  </si>
  <si>
    <t xml:space="preserve">REQ-NF-04</t>
  </si>
  <si>
    <t xml:space="preserve">이용권 일괄 지급 목록은 데이터가 늘어도 일정한 응답 시간을 유지한다</t>
  </si>
  <si>
    <t xml:space="preserve">목록을 페이징해 조회 건수를 제한</t>
  </si>
  <si>
    <r>
      <rPr>
        <sz val="10"/>
        <rFont val="Malgun Gothic"/>
        <family val="0"/>
        <charset val="1"/>
      </rPr>
      <t xml:space="preserve">PF-07 1</t>
    </r>
    <r>
      <rPr>
        <sz val="10"/>
        <rFont val="Noto Sans CJK SC"/>
        <family val="2"/>
      </rPr>
      <t xml:space="preserve">차 실행 관찰</t>
    </r>
    <r>
      <rPr>
        <sz val="10"/>
        <rFont val="Malgun Gothic"/>
        <family val="0"/>
        <charset val="1"/>
      </rPr>
      <t xml:space="preserve">, AdminViewController</t>
    </r>
  </si>
  <si>
    <t xml:space="preserve">PF-09</t>
  </si>
  <si>
    <t xml:space="preserve">PERF-002</t>
  </si>
  <si>
    <r>
      <rPr>
        <sz val="10"/>
        <rFont val="Noto Sans CJK SC"/>
        <family val="2"/>
      </rPr>
      <t xml:space="preserve">페이징 없이 전체 목록 조회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요구사항 누락</t>
    </r>
    <r>
      <rPr>
        <sz val="10"/>
        <rFont val="Malgun Gothic"/>
        <family val="0"/>
        <charset val="1"/>
      </rPr>
      <t xml:space="preserve">)</t>
    </r>
  </si>
  <si>
    <t xml:space="preserve">TC ID</t>
  </si>
  <si>
    <r>
      <rPr>
        <b val="true"/>
        <sz val="10"/>
        <color rgb="FFFFFFFF"/>
        <rFont val="Noto Sans CJK SC"/>
        <family val="2"/>
      </rPr>
      <t xml:space="preserve">기능</t>
    </r>
    <r>
      <rPr>
        <b val="true"/>
        <sz val="10"/>
        <color rgb="FFFFFFFF"/>
        <rFont val="Malgun Gothic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시나리오</t>
    </r>
  </si>
  <si>
    <t xml:space="preserve">판정</t>
  </si>
  <si>
    <t xml:space="preserve">JN-01</t>
  </si>
  <si>
    <r>
      <rPr>
        <sz val="10"/>
        <rFont val="Noto Sans CJK SC"/>
        <family val="2"/>
      </rPr>
      <t xml:space="preserve">화면 가입 후 </t>
    </r>
    <r>
      <rPr>
        <sz val="10"/>
        <rFont val="Malgun Gothic"/>
        <family val="0"/>
        <charset val="1"/>
      </rPr>
      <t xml:space="preserve">DB </t>
    </r>
    <r>
      <rPr>
        <sz val="10"/>
        <rFont val="Noto Sans CJK SC"/>
        <family val="2"/>
      </rPr>
      <t xml:space="preserve">저장</t>
    </r>
  </si>
  <si>
    <t xml:space="preserve">JN-02</t>
  </si>
  <si>
    <t xml:space="preserve">폼 형식 정상 가입</t>
  </si>
  <si>
    <t xml:space="preserve">JN-04</t>
  </si>
  <si>
    <t xml:space="preserve">이름 공란</t>
  </si>
  <si>
    <t xml:space="preserve">DEF-002</t>
  </si>
  <si>
    <t xml:space="preserve">JN-05</t>
  </si>
  <si>
    <t xml:space="preserve">이메일 공란</t>
  </si>
  <si>
    <t xml:space="preserve">JN-07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</si>
  <si>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하한 미만</t>
    </r>
    <r>
      <rPr>
        <sz val="10"/>
        <rFont val="Malgun Gothic"/>
        <family val="0"/>
        <charset val="1"/>
      </rPr>
      <t xml:space="preserve">)</t>
    </r>
  </si>
  <si>
    <t xml:space="preserve">JN-08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</si>
  <si>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하한</t>
    </r>
    <r>
      <rPr>
        <sz val="10"/>
        <rFont val="Malgun Gothic"/>
        <family val="0"/>
        <charset val="1"/>
      </rPr>
      <t xml:space="preserve">)</t>
    </r>
  </si>
  <si>
    <t xml:space="preserve">JN-09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</si>
  <si>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상한</t>
    </r>
    <r>
      <rPr>
        <sz val="10"/>
        <rFont val="Malgun Gothic"/>
        <family val="0"/>
        <charset val="1"/>
      </rPr>
      <t xml:space="preserve">)</t>
    </r>
  </si>
  <si>
    <t xml:space="preserve">JN-10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</si>
  <si>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0"/>
        <charset val="1"/>
      </rPr>
      <t xml:space="preserve">21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상한 초과</t>
    </r>
    <r>
      <rPr>
        <sz val="10"/>
        <rFont val="Malgun Gothic"/>
        <family val="0"/>
        <charset val="1"/>
      </rPr>
      <t xml:space="preserve">)</t>
    </r>
  </si>
  <si>
    <t xml:space="preserve">JN-11</t>
  </si>
  <si>
    <r>
      <rPr>
        <sz val="10"/>
        <rFont val="Noto Sans CJK SC"/>
        <family val="2"/>
      </rPr>
      <t xml:space="preserve">비밀번호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하한 미만</t>
    </r>
    <r>
      <rPr>
        <sz val="10"/>
        <rFont val="Malgun Gothic"/>
        <family val="0"/>
        <charset val="1"/>
      </rPr>
      <t xml:space="preserve">)</t>
    </r>
  </si>
  <si>
    <t xml:space="preserve">JN-12</t>
  </si>
  <si>
    <r>
      <rPr>
        <sz val="10"/>
        <rFont val="Noto Sans CJK SC"/>
        <family val="2"/>
      </rPr>
      <t xml:space="preserve">비밀번호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하한</t>
    </r>
    <r>
      <rPr>
        <sz val="10"/>
        <rFont val="Malgun Gothic"/>
        <family val="0"/>
        <charset val="1"/>
      </rPr>
      <t xml:space="preserve">)</t>
    </r>
  </si>
  <si>
    <t xml:space="preserve">JN-13</t>
  </si>
  <si>
    <t xml:space="preserve">비밀번호 특수문자 누락</t>
  </si>
  <si>
    <r>
      <rPr>
        <sz val="10"/>
        <rFont val="Malgun Gothic"/>
        <family val="0"/>
        <charset val="1"/>
      </rPr>
      <t xml:space="preserve">72</t>
    </r>
    <r>
      <rPr>
        <sz val="10"/>
        <rFont val="Noto Sans CJK SC"/>
        <family val="2"/>
      </rPr>
      <t xml:space="preserve">바이트 초과 비밀번호</t>
    </r>
  </si>
  <si>
    <t xml:space="preserve">JN-06</t>
  </si>
  <si>
    <t xml:space="preserve">중복 아이디</t>
  </si>
  <si>
    <t xml:space="preserve">JN-15</t>
  </si>
  <si>
    <r>
      <rPr>
        <sz val="10"/>
        <rFont val="Noto Sans CJK SC"/>
        <family val="2"/>
      </rPr>
      <t xml:space="preserve">대소문자만 다른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로 중복 가입</t>
    </r>
  </si>
  <si>
    <t xml:space="preserve">L-09</t>
  </si>
  <si>
    <r>
      <rPr>
        <sz val="10"/>
        <rFont val="Noto Sans CJK SC"/>
        <family val="2"/>
      </rPr>
      <t xml:space="preserve">대소문자만 다른 </t>
    </r>
    <r>
      <rPr>
        <sz val="10"/>
        <rFont val="Malgun Gothic"/>
        <family val="0"/>
        <charset val="1"/>
      </rPr>
      <t xml:space="preserve">ID</t>
    </r>
    <r>
      <rPr>
        <sz val="10"/>
        <rFont val="Noto Sans CJK SC"/>
        <family val="2"/>
      </rPr>
      <t xml:space="preserve">로 로그인</t>
    </r>
  </si>
  <si>
    <r>
      <rPr>
        <sz val="10"/>
        <rFont val="Malgun Gothic"/>
        <family val="0"/>
        <charset val="1"/>
      </rPr>
      <t xml:space="preserve">JSON </t>
    </r>
    <r>
      <rPr>
        <sz val="10"/>
        <rFont val="Noto Sans CJK SC"/>
        <family val="2"/>
      </rPr>
      <t xml:space="preserve">형식 요청</t>
    </r>
  </si>
  <si>
    <t xml:space="preserve">L-01</t>
  </si>
  <si>
    <t xml:space="preserve">정상 로그인</t>
  </si>
  <si>
    <t xml:space="preserve">LA-01</t>
  </si>
  <si>
    <t xml:space="preserve">L-02</t>
  </si>
  <si>
    <r>
      <rPr>
        <sz val="10"/>
        <rFont val="Noto Sans CJK SC"/>
        <family val="2"/>
      </rPr>
      <t xml:space="preserve">존재하지 않는 </t>
    </r>
    <r>
      <rPr>
        <sz val="10"/>
        <rFont val="Malgun Gothic"/>
        <family val="0"/>
        <charset val="1"/>
      </rPr>
      <t xml:space="preserve">ID</t>
    </r>
  </si>
  <si>
    <t xml:space="preserve">L-03</t>
  </si>
  <si>
    <t xml:space="preserve">틀린 비밀번호</t>
  </si>
  <si>
    <t xml:space="preserve">L-04</t>
  </si>
  <si>
    <r>
      <rPr>
        <sz val="10"/>
        <rFont val="Noto Sans CJK SC"/>
        <family val="2"/>
      </rPr>
      <t xml:space="preserve">아이디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 모두 빈 값</t>
    </r>
  </si>
  <si>
    <t xml:space="preserve">L-05</t>
  </si>
  <si>
    <r>
      <rPr>
        <sz val="10"/>
        <rFont val="Noto Sans CJK SC"/>
        <family val="2"/>
      </rPr>
      <t xml:space="preserve">아이디만 입력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비밀번호 빈 값</t>
    </r>
  </si>
  <si>
    <t xml:space="preserve">LA-03</t>
  </si>
  <si>
    <t xml:space="preserve">LA-04</t>
  </si>
  <si>
    <r>
      <rPr>
        <sz val="10"/>
        <rFont val="Noto Sans CJK SC"/>
        <family val="2"/>
      </rPr>
      <t xml:space="preserve">비밀번호 입력 후 </t>
    </r>
    <r>
      <rPr>
        <sz val="10"/>
        <rFont val="Malgun Gothic"/>
        <family val="0"/>
        <charset val="1"/>
      </rPr>
      <t xml:space="preserve">Enter</t>
    </r>
    <r>
      <rPr>
        <sz val="10"/>
        <rFont val="Noto Sans CJK SC"/>
        <family val="2"/>
      </rPr>
      <t xml:space="preserve">로 제출</t>
    </r>
  </si>
  <si>
    <r>
      <rPr>
        <sz val="10"/>
        <rFont val="Noto Sans CJK SC"/>
        <family val="2"/>
      </rPr>
      <t xml:space="preserve">로그아웃 후 </t>
    </r>
    <r>
      <rPr>
        <sz val="10"/>
        <rFont val="Malgun Gothic"/>
        <family val="0"/>
        <charset val="1"/>
      </rPr>
      <t xml:space="preserve">/login</t>
    </r>
    <r>
      <rPr>
        <sz val="10"/>
        <rFont val="Noto Sans CJK SC"/>
        <family val="2"/>
      </rPr>
      <t xml:space="preserve">으로 복귀</t>
    </r>
  </si>
  <si>
    <t xml:space="preserve">L-11</t>
  </si>
  <si>
    <t xml:space="preserve">첫 로그인 시 기본 그룹 부여</t>
  </si>
  <si>
    <t xml:space="preserve">L-12</t>
  </si>
  <si>
    <t xml:space="preserve">재로그인 시 그룹 매핑 중복</t>
  </si>
  <si>
    <t xml:space="preserve">AD-01</t>
  </si>
  <si>
    <t xml:space="preserve">대시보드 파라미터 없이 접속</t>
  </si>
  <si>
    <t xml:space="preserve">AD-02</t>
  </si>
  <si>
    <t xml:space="preserve">대시보드 날짜 지정 조회</t>
  </si>
  <si>
    <t xml:space="preserve">이용권 일괄 등록</t>
  </si>
  <si>
    <t xml:space="preserve">시작 일시 형식 오류</t>
  </si>
  <si>
    <t xml:space="preserve">관리자 로그인 실패 알림</t>
  </si>
  <si>
    <t xml:space="preserve">BT-10</t>
  </si>
  <si>
    <r>
      <rPr>
        <sz val="10"/>
        <rFont val="Malgun Gothic"/>
        <family val="0"/>
        <charset val="1"/>
      </rPr>
      <t xml:space="preserve">bulk_pass </t>
    </r>
    <r>
      <rPr>
        <sz val="10"/>
        <rFont val="Noto Sans CJK SC"/>
        <family val="2"/>
      </rPr>
      <t xml:space="preserve">상태 변경</t>
    </r>
  </si>
  <si>
    <t xml:space="preserve">BT-11</t>
  </si>
  <si>
    <r>
      <rPr>
        <sz val="10"/>
        <rFont val="Malgun Gothic"/>
        <family val="0"/>
        <charset val="1"/>
      </rPr>
      <t xml:space="preserve">pass·booking </t>
    </r>
    <r>
      <rPr>
        <sz val="10"/>
        <rFont val="Noto Sans CJK SC"/>
        <family val="2"/>
      </rPr>
      <t xml:space="preserve">생성 수</t>
    </r>
  </si>
  <si>
    <t xml:space="preserve">BT-14</t>
  </si>
  <si>
    <t xml:space="preserve">처리 대상 기간 경계</t>
  </si>
  <si>
    <r>
      <rPr>
        <sz val="10"/>
        <rFont val="Noto Sans CJK SC"/>
        <family val="2"/>
      </rPr>
      <t xml:space="preserve">중단된 </t>
    </r>
    <r>
      <rPr>
        <sz val="10"/>
        <rFont val="Malgun Gothic"/>
        <family val="0"/>
        <charset val="1"/>
      </rPr>
      <t xml:space="preserve">Job </t>
    </r>
    <r>
      <rPr>
        <sz val="10"/>
        <rFont val="Noto Sans CJK SC"/>
        <family val="2"/>
      </rPr>
      <t xml:space="preserve">재실행</t>
    </r>
  </si>
  <si>
    <t xml:space="preserve">시간이 겹치는 예약</t>
  </si>
  <si>
    <t xml:space="preserve">동시 요청 처리</t>
  </si>
  <si>
    <t xml:space="preserve">SC-01</t>
  </si>
  <si>
    <t xml:space="preserve">비밀번호 저장 형식</t>
  </si>
  <si>
    <t xml:space="preserve">LA-02</t>
  </si>
  <si>
    <t xml:space="preserve">응답 본문 비밀번호 노출</t>
  </si>
  <si>
    <t xml:space="preserve">SC-02</t>
  </si>
  <si>
    <r>
      <rPr>
        <sz val="10"/>
        <rFont val="Noto Sans CJK SC"/>
        <family val="2"/>
      </rPr>
      <t xml:space="preserve">로그인 </t>
    </r>
    <r>
      <rPr>
        <sz val="10"/>
        <rFont val="Malgun Gothic"/>
        <family val="0"/>
        <charset val="1"/>
      </rPr>
      <t xml:space="preserve">Console </t>
    </r>
    <r>
      <rPr>
        <sz val="10"/>
        <rFont val="Noto Sans CJK SC"/>
        <family val="2"/>
      </rPr>
      <t xml:space="preserve">로그</t>
    </r>
  </si>
  <si>
    <r>
      <rPr>
        <sz val="10"/>
        <rFont val="Noto Sans CJK SC"/>
        <family val="2"/>
      </rPr>
      <t xml:space="preserve">아이디에 </t>
    </r>
    <r>
      <rPr>
        <sz val="10"/>
        <rFont val="Malgun Gothic"/>
        <family val="0"/>
        <charset val="1"/>
      </rPr>
      <t xml:space="preserve">SQL </t>
    </r>
    <r>
      <rPr>
        <sz val="10"/>
        <rFont val="Noto Sans CJK SC"/>
        <family val="2"/>
      </rPr>
      <t xml:space="preserve">구문 입력</t>
    </r>
  </si>
  <si>
    <t xml:space="preserve">로그인 전후 세션 변경</t>
  </si>
  <si>
    <r>
      <rPr>
        <sz val="10"/>
        <color rgb="FF000000"/>
        <rFont val="Noto Sans CJK SC"/>
        <family val="2"/>
      </rPr>
      <t xml:space="preserve">관리자 페이지</t>
    </r>
    <r>
      <rPr>
        <sz val="10"/>
        <color rgb="FF000000"/>
        <rFont val="Malgun Gothic"/>
        <family val="0"/>
        <charset val="1"/>
      </rPr>
      <t xml:space="preserve">(/admin/**)</t>
    </r>
    <r>
      <rPr>
        <sz val="10"/>
        <color rgb="FF000000"/>
        <rFont val="Noto Sans CJK SC"/>
        <family val="2"/>
      </rPr>
      <t xml:space="preserve">는 관리자 계정만 접근할 수 있다</t>
    </r>
  </si>
  <si>
    <r>
      <rPr>
        <sz val="10"/>
        <color rgb="FFC00000"/>
        <rFont val="Malgun Gothic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없음</t>
    </r>
    <r>
      <rPr>
        <sz val="10"/>
        <color rgb="FFC00000"/>
        <rFont val="Malgun Gothic"/>
        <family val="0"/>
        <charset val="1"/>
      </rPr>
      <t xml:space="preserve">)</t>
    </r>
  </si>
  <si>
    <r>
      <rPr>
        <sz val="10"/>
        <color rgb="FFC00000"/>
        <rFont val="Noto Sans CJK SC"/>
        <family val="2"/>
      </rPr>
      <t xml:space="preserve">연결된 </t>
    </r>
    <r>
      <rPr>
        <sz val="10"/>
        <color rgb="FFC00000"/>
        <rFont val="Malgun Gothic"/>
        <family val="0"/>
        <charset val="1"/>
      </rPr>
      <t xml:space="preserve">TC </t>
    </r>
    <r>
      <rPr>
        <sz val="10"/>
        <color rgb="FFC00000"/>
        <rFont val="Noto Sans CJK SC"/>
        <family val="2"/>
      </rPr>
      <t xml:space="preserve">없음 </t>
    </r>
    <r>
      <rPr>
        <sz val="10"/>
        <color rgb="FFC00000"/>
        <rFont val="Malgun Gothic"/>
        <family val="0"/>
        <charset val="1"/>
      </rPr>
      <t xml:space="preserve">- </t>
    </r>
    <r>
      <rPr>
        <sz val="10"/>
        <color rgb="FFC00000"/>
        <rFont val="Noto Sans CJK SC"/>
        <family val="2"/>
      </rPr>
      <t xml:space="preserve">테스트 공백</t>
    </r>
  </si>
  <si>
    <r>
      <rPr>
        <sz val="10"/>
        <rFont val="Noto Sans CJK SC"/>
        <family val="2"/>
      </rPr>
      <t xml:space="preserve">통계 그래프와 </t>
    </r>
    <r>
      <rPr>
        <sz val="10"/>
        <rFont val="Malgun Gothic"/>
        <family val="0"/>
        <charset val="1"/>
      </rPr>
      <t xml:space="preserve">DB </t>
    </r>
    <r>
      <rPr>
        <sz val="10"/>
        <rFont val="Noto Sans CJK SC"/>
        <family val="2"/>
      </rPr>
      <t xml:space="preserve">일치</t>
    </r>
  </si>
  <si>
    <t xml:space="preserve">BT-12</t>
  </si>
  <si>
    <r>
      <rPr>
        <sz val="10"/>
        <rFont val="Malgun Gothic"/>
        <family val="0"/>
        <charset val="1"/>
      </rPr>
      <t xml:space="preserve">booking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pass_seq </t>
    </r>
    <r>
      <rPr>
        <sz val="10"/>
        <rFont val="Noto Sans CJK SC"/>
        <family val="2"/>
      </rPr>
      <t xml:space="preserve">고유성</t>
    </r>
  </si>
  <si>
    <t xml:space="preserve">BT-13</t>
  </si>
  <si>
    <r>
      <rPr>
        <sz val="10"/>
        <rFont val="Malgun Gothic"/>
        <family val="0"/>
        <charset val="1"/>
      </rPr>
      <t xml:space="preserve">booking-pass </t>
    </r>
    <r>
      <rPr>
        <sz val="10"/>
        <rFont val="Noto Sans CJK SC"/>
        <family val="2"/>
      </rPr>
      <t xml:space="preserve">연결 정합성</t>
    </r>
  </si>
  <si>
    <t xml:space="preserve">BT-01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</si>
  <si>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개선 전</t>
    </r>
    <r>
      <rPr>
        <sz val="10"/>
        <rFont val="Malgun Gothic"/>
        <family val="0"/>
        <charset val="1"/>
      </rPr>
      <t xml:space="preserve">] addPassesJob </t>
    </r>
    <r>
      <rPr>
        <sz val="10"/>
        <rFont val="Noto Sans CJK SC"/>
        <family val="2"/>
      </rPr>
      <t xml:space="preserve">처리 시간</t>
    </r>
  </si>
  <si>
    <t xml:space="preserve">BT-02</t>
  </si>
  <si>
    <t xml:space="preserve">BT-03</t>
  </si>
  <si>
    <t xml:space="preserve">BT-04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</si>
  <si>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개선 전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처리 시간 증가 패턴</t>
    </r>
  </si>
  <si>
    <t xml:space="preserve">BT-05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</si>
  <si>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개선 후</t>
    </r>
    <r>
      <rPr>
        <sz val="10"/>
        <rFont val="Malgun Gothic"/>
        <family val="0"/>
        <charset val="1"/>
      </rPr>
      <t xml:space="preserve">] addPassesJob </t>
    </r>
    <r>
      <rPr>
        <sz val="10"/>
        <rFont val="Noto Sans CJK SC"/>
        <family val="2"/>
      </rPr>
      <t xml:space="preserve">처리 시간</t>
    </r>
  </si>
  <si>
    <t xml:space="preserve">BT-06</t>
  </si>
  <si>
    <t xml:space="preserve">BT-07</t>
  </si>
  <si>
    <t xml:space="preserve">BT-08</t>
  </si>
  <si>
    <t xml:space="preserve">BT-09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</si>
  <si>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개선 후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처리 시간 증가 패턴</t>
    </r>
  </si>
  <si>
    <t xml:space="preserve">PF-07</t>
  </si>
  <si>
    <t xml:space="preserve">PF-08</t>
  </si>
  <si>
    <t xml:space="preserve">PF-01</t>
  </si>
  <si>
    <t xml:space="preserve">로그인 페이지</t>
  </si>
  <si>
    <t xml:space="preserve">PF-02</t>
  </si>
  <si>
    <t xml:space="preserve">PF-03</t>
  </si>
  <si>
    <t xml:space="preserve">PF-04</t>
  </si>
  <si>
    <t xml:space="preserve">PF-05</t>
  </si>
  <si>
    <t xml:space="preserve">PF-06</t>
  </si>
  <si>
    <t xml:space="preserve">이용권 일괄 등록 목록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</si>
</sst>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Malgun Gothic"/>
      <family val="0"/>
      <charset val="1"/>
    </font>
    <font>
      <b val="true"/>
      <sz val="16"/>
      <color rgb="FF1F4E79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algun Gothic"/>
      <family val="0"/>
      <charset val="1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1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color rgb="FFC55A11"/>
      <name val="Noto Sans CJK SC"/>
      <family val="2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sz val="10"/>
      <color rgb="FFC00000"/>
      <name val="Malgun Gothic"/>
      <family val="0"/>
      <charset val="1"/>
    </font>
    <font>
      <sz val="10"/>
      <color rgb="FFC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  <dxf>
      <fill>
        <patternFill>
          <bgColor rgb="FFFFEB9C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customFormat="false" ht="15" hidden="false" customHeight="false" outlineLevel="0" collapsed="false">
      <c r="A7" s="6" t="s">
        <v>11</v>
      </c>
      <c r="B7" s="7" t="n">
        <f aca="false">COUNTIF('요구사항 목록'!$B$2:$B$34,A7)</f>
        <v>21</v>
      </c>
      <c r="C7" s="7" t="n">
        <f aca="false">COUNTIFS('요구사항 목록'!$B$2:$B$34,$A7,'요구사항 목록'!$O$2:$O$34,"충족")</f>
        <v>15</v>
      </c>
      <c r="D7" s="7" t="n">
        <f aca="false">COUNTIFS('요구사항 목록'!$B$2:$B$34,$A7,'요구사항 목록'!$O$2:$O$34,"충족 (수정 후)")</f>
        <v>2</v>
      </c>
      <c r="E7" s="7" t="n">
        <f aca="false">COUNTIFS('요구사항 목록'!$B$2:$B$34,$A7,'요구사항 목록'!$O$2:$O$34,"미충족")</f>
        <v>2</v>
      </c>
      <c r="F7" s="7" t="n">
        <f aca="false">COUNTIFS('요구사항 목록'!$B$2:$B$34,$A7,'요구사항 목록'!$O$2:$O$34,"미검증")</f>
        <v>2</v>
      </c>
      <c r="G7" s="7" t="n">
        <f aca="false">COUNTIFS('요구사항 목록'!$B$2:$B$34,$A7,'요구사항 목록'!$O$2:$O$34,"기준 미정")</f>
        <v>0</v>
      </c>
    </row>
    <row r="8" customFormat="false" ht="15" hidden="false" customHeight="false" outlineLevel="0" collapsed="false">
      <c r="A8" s="6" t="s">
        <v>12</v>
      </c>
      <c r="B8" s="7" t="n">
        <f aca="false">COUNTIF('요구사항 목록'!$B$2:$B$34,A8)</f>
        <v>5</v>
      </c>
      <c r="C8" s="7" t="n">
        <f aca="false">COUNTIFS('요구사항 목록'!$B$2:$B$34,$A8,'요구사항 목록'!$O$2:$O$34,"충족")</f>
        <v>3</v>
      </c>
      <c r="D8" s="7" t="n">
        <f aca="false">COUNTIFS('요구사항 목록'!$B$2:$B$34,$A8,'요구사항 목록'!$O$2:$O$34,"충족 (수정 후)")</f>
        <v>1</v>
      </c>
      <c r="E8" s="7" t="n">
        <f aca="false">COUNTIFS('요구사항 목록'!$B$2:$B$34,$A8,'요구사항 목록'!$O$2:$O$34,"미충족")</f>
        <v>0</v>
      </c>
      <c r="F8" s="7" t="n">
        <f aca="false">COUNTIFS('요구사항 목록'!$B$2:$B$34,$A8,'요구사항 목록'!$O$2:$O$34,"미검증")</f>
        <v>1</v>
      </c>
      <c r="G8" s="7" t="n">
        <f aca="false">COUNTIFS('요구사항 목록'!$B$2:$B$34,$A8,'요구사항 목록'!$O$2:$O$34,"기준 미정")</f>
        <v>0</v>
      </c>
    </row>
    <row r="9" customFormat="false" ht="15" hidden="false" customHeight="false" outlineLevel="0" collapsed="false">
      <c r="A9" s="6" t="s">
        <v>13</v>
      </c>
      <c r="B9" s="7" t="n">
        <f aca="false">COUNTIF('요구사항 목록'!$B$2:$B$34,A9)</f>
        <v>3</v>
      </c>
      <c r="C9" s="7" t="n">
        <f aca="false">COUNTIFS('요구사항 목록'!$B$2:$B$34,$A9,'요구사항 목록'!$O$2:$O$34,"충족")</f>
        <v>1</v>
      </c>
      <c r="D9" s="7" t="n">
        <f aca="false">COUNTIFS('요구사항 목록'!$B$2:$B$34,$A9,'요구사항 목록'!$O$2:$O$34,"충족 (수정 후)")</f>
        <v>2</v>
      </c>
      <c r="E9" s="7" t="n">
        <f aca="false">COUNTIFS('요구사항 목록'!$B$2:$B$34,$A9,'요구사항 목록'!$O$2:$O$34,"미충족")</f>
        <v>0</v>
      </c>
      <c r="F9" s="7" t="n">
        <f aca="false">COUNTIFS('요구사항 목록'!$B$2:$B$34,$A9,'요구사항 목록'!$O$2:$O$34,"미검증")</f>
        <v>0</v>
      </c>
      <c r="G9" s="7" t="n">
        <f aca="false">COUNTIFS('요구사항 목록'!$B$2:$B$34,$A9,'요구사항 목록'!$O$2:$O$34,"기준 미정")</f>
        <v>0</v>
      </c>
    </row>
    <row r="10" customFormat="false" ht="15" hidden="false" customHeight="false" outlineLevel="0" collapsed="false">
      <c r="A10" s="6" t="s">
        <v>14</v>
      </c>
      <c r="B10" s="7" t="n">
        <f aca="false">COUNTIF('요구사항 목록'!$B$2:$B$34,A10)</f>
        <v>4</v>
      </c>
      <c r="C10" s="7" t="n">
        <f aca="false">COUNTIFS('요구사항 목록'!$B$2:$B$34,$A10,'요구사항 목록'!$O$2:$O$34,"충족")</f>
        <v>1</v>
      </c>
      <c r="D10" s="7" t="n">
        <f aca="false">COUNTIFS('요구사항 목록'!$B$2:$B$34,$A10,'요구사항 목록'!$O$2:$O$34,"충족 (수정 후)")</f>
        <v>1</v>
      </c>
      <c r="E10" s="7" t="n">
        <f aca="false">COUNTIFS('요구사항 목록'!$B$2:$B$34,$A10,'요구사항 목록'!$O$2:$O$34,"미충족")</f>
        <v>1</v>
      </c>
      <c r="F10" s="7" t="n">
        <f aca="false">COUNTIFS('요구사항 목록'!$B$2:$B$34,$A10,'요구사항 목록'!$O$2:$O$34,"미검증")</f>
        <v>0</v>
      </c>
      <c r="G10" s="7" t="n">
        <f aca="false">COUNTIFS('요구사항 목록'!$B$2:$B$34,$A10,'요구사항 목록'!$O$2:$O$34,"기준 미정")</f>
        <v>1</v>
      </c>
    </row>
    <row r="11" customFormat="false" ht="15" hidden="false" customHeight="false" outlineLevel="0" collapsed="false">
      <c r="A11" s="8" t="s">
        <v>15</v>
      </c>
      <c r="B11" s="9" t="n">
        <f aca="false">SUM(B7:B10)</f>
        <v>33</v>
      </c>
      <c r="C11" s="9" t="n">
        <f aca="false">SUM(C7:C10)</f>
        <v>20</v>
      </c>
      <c r="D11" s="9" t="n">
        <f aca="false">SUM(D7:D10)</f>
        <v>6</v>
      </c>
      <c r="E11" s="9" t="n">
        <f aca="false">SUM(E7:E10)</f>
        <v>3</v>
      </c>
      <c r="F11" s="9" t="n">
        <f aca="false">SUM(F7:F10)</f>
        <v>3</v>
      </c>
      <c r="G11" s="9" t="n">
        <f aca="false">SUM(G7:G10)</f>
        <v>1</v>
      </c>
    </row>
    <row r="13" customFormat="false" ht="15" hidden="false" customHeight="false" outlineLevel="0" collapsed="false">
      <c r="A13" s="4" t="s">
        <v>16</v>
      </c>
    </row>
    <row r="14" customFormat="false" ht="15" hidden="false" customHeight="false" outlineLevel="0" collapsed="false">
      <c r="A14" s="5" t="s">
        <v>17</v>
      </c>
      <c r="B14" s="5" t="s">
        <v>5</v>
      </c>
    </row>
    <row r="15" customFormat="false" ht="15" hidden="false" customHeight="false" outlineLevel="0" collapsed="false">
      <c r="A15" s="6" t="s">
        <v>18</v>
      </c>
      <c r="B15" s="7" t="n">
        <f aca="false">COUNTIF('요구사항 목록'!$F$2:$F$34,A15)</f>
        <v>5</v>
      </c>
    </row>
    <row r="16" customFormat="false" ht="15" hidden="false" customHeight="false" outlineLevel="0" collapsed="false">
      <c r="A16" s="6" t="s">
        <v>19</v>
      </c>
      <c r="B16" s="7" t="n">
        <f aca="false">COUNTIF('요구사항 목록'!$F$2:$F$34,A16)</f>
        <v>17</v>
      </c>
    </row>
    <row r="17" customFormat="false" ht="15" hidden="false" customHeight="false" outlineLevel="0" collapsed="false">
      <c r="A17" s="6" t="s">
        <v>20</v>
      </c>
      <c r="B17" s="7" t="n">
        <f aca="false">COUNTIF('요구사항 목록'!$F$2:$F$34,A17)</f>
        <v>2</v>
      </c>
    </row>
    <row r="18" customFormat="false" ht="15" hidden="false" customHeight="false" outlineLevel="0" collapsed="false">
      <c r="A18" s="6" t="s">
        <v>21</v>
      </c>
      <c r="B18" s="7" t="n">
        <f aca="false">COUNTIF('요구사항 목록'!$F$2:$F$34,A18)</f>
        <v>9</v>
      </c>
    </row>
    <row r="20" customFormat="false" ht="15" hidden="false" customHeight="false" outlineLevel="0" collapsed="false">
      <c r="A20" s="4" t="s">
        <v>22</v>
      </c>
    </row>
    <row r="21" customFormat="false" ht="15" hidden="false" customHeight="false" outlineLevel="0" collapsed="false">
      <c r="A21" s="5" t="s">
        <v>23</v>
      </c>
      <c r="B21" s="5" t="s">
        <v>24</v>
      </c>
    </row>
    <row r="22" customFormat="false" ht="15" hidden="false" customHeight="false" outlineLevel="0" collapsed="false">
      <c r="A22" s="10" t="s">
        <v>25</v>
      </c>
      <c r="B22" s="7" t="n">
        <f aca="false">COUNTIF('요구사항 목록'!$J$2:$J$34,0)</f>
        <v>1</v>
      </c>
    </row>
    <row r="23" customFormat="false" ht="15" hidden="false" customHeight="false" outlineLevel="0" collapsed="false">
      <c r="A23" s="6" t="s">
        <v>26</v>
      </c>
      <c r="B23" s="7" t="n">
        <v>0</v>
      </c>
    </row>
    <row r="25" customFormat="false" ht="15" hidden="false" customHeight="false" outlineLevel="0" collapsed="false">
      <c r="A25" s="4" t="s">
        <v>27</v>
      </c>
    </row>
    <row r="26" customFormat="false" ht="30" hidden="false" customHeight="true" outlineLevel="0" collapsed="false">
      <c r="A26" s="3" t="s">
        <v>28</v>
      </c>
      <c r="B26" s="3"/>
      <c r="C26" s="3"/>
      <c r="D26" s="3"/>
      <c r="E26" s="3"/>
      <c r="F26" s="3"/>
      <c r="G26" s="3"/>
    </row>
    <row r="27" customFormat="false" ht="30" hidden="false" customHeight="true" outlineLevel="0" collapsed="false">
      <c r="A27" s="3" t="s">
        <v>29</v>
      </c>
      <c r="B27" s="3"/>
      <c r="C27" s="3"/>
      <c r="D27" s="3"/>
      <c r="E27" s="3"/>
      <c r="F27" s="3"/>
      <c r="G27" s="3"/>
    </row>
    <row r="28" customFormat="false" ht="30" hidden="false" customHeight="true" outlineLevel="0" collapsed="false">
      <c r="A28" s="3" t="s">
        <v>30</v>
      </c>
      <c r="B28" s="3"/>
      <c r="C28" s="3"/>
      <c r="D28" s="3"/>
      <c r="E28" s="3"/>
      <c r="F28" s="3"/>
      <c r="G28" s="3"/>
    </row>
    <row r="29" customFormat="false" ht="30" hidden="false" customHeight="true" outlineLevel="0" collapsed="false">
      <c r="A29" s="3" t="s">
        <v>31</v>
      </c>
      <c r="B29" s="3"/>
      <c r="C29" s="3"/>
      <c r="D29" s="3"/>
      <c r="E29" s="3"/>
      <c r="F29" s="3"/>
      <c r="G29" s="3"/>
    </row>
    <row r="31" customFormat="false" ht="15" hidden="false" customHeight="false" outlineLevel="0" collapsed="false">
      <c r="A31" s="4" t="s">
        <v>32</v>
      </c>
    </row>
    <row r="32" customFormat="false" ht="27.75" hidden="false" customHeight="true" outlineLevel="0" collapsed="false">
      <c r="A32" s="11" t="s">
        <v>33</v>
      </c>
      <c r="B32" s="3" t="s">
        <v>34</v>
      </c>
      <c r="C32" s="3"/>
      <c r="D32" s="3"/>
      <c r="E32" s="3"/>
      <c r="F32" s="3"/>
      <c r="G32" s="3"/>
    </row>
    <row r="33" customFormat="false" ht="27.75" hidden="false" customHeight="true" outlineLevel="0" collapsed="false">
      <c r="A33" s="11" t="s">
        <v>35</v>
      </c>
      <c r="B33" s="3" t="s">
        <v>36</v>
      </c>
      <c r="C33" s="3"/>
      <c r="D33" s="3"/>
      <c r="E33" s="3"/>
      <c r="F33" s="3"/>
      <c r="G33" s="3"/>
    </row>
    <row r="34" customFormat="false" ht="27.75" hidden="false" customHeight="true" outlineLevel="0" collapsed="false">
      <c r="A34" s="11" t="s">
        <v>37</v>
      </c>
      <c r="B34" s="3" t="s">
        <v>38</v>
      </c>
      <c r="C34" s="3"/>
      <c r="D34" s="3"/>
      <c r="E34" s="3"/>
      <c r="F34" s="3"/>
      <c r="G34" s="3"/>
    </row>
    <row r="35" customFormat="false" ht="27.75" hidden="false" customHeight="true" outlineLevel="0" collapsed="false">
      <c r="A35" s="11" t="s">
        <v>39</v>
      </c>
      <c r="B35" s="3" t="s">
        <v>40</v>
      </c>
      <c r="C35" s="3"/>
      <c r="D35" s="3"/>
      <c r="E35" s="3"/>
      <c r="F35" s="3"/>
      <c r="G35" s="3"/>
    </row>
    <row r="36" customFormat="false" ht="27.75" hidden="false" customHeight="true" outlineLevel="0" collapsed="false">
      <c r="A36" s="12" t="s">
        <v>41</v>
      </c>
      <c r="B36" s="3" t="s">
        <v>42</v>
      </c>
      <c r="C36" s="3"/>
      <c r="D36" s="3"/>
      <c r="E36" s="3"/>
      <c r="F36" s="3"/>
      <c r="G36" s="3"/>
    </row>
    <row r="37" customFormat="false" ht="27.75" hidden="false" customHeight="true" outlineLevel="0" collapsed="false">
      <c r="A37" s="12" t="s">
        <v>43</v>
      </c>
      <c r="B37" s="13" t="s">
        <v>44</v>
      </c>
      <c r="C37" s="13"/>
      <c r="D37" s="13"/>
      <c r="E37" s="13"/>
      <c r="F37" s="13"/>
      <c r="G37" s="13"/>
    </row>
  </sheetData>
  <mergeCells count="11">
    <mergeCell ref="A3:G3"/>
    <mergeCell ref="A26:G26"/>
    <mergeCell ref="A27:G27"/>
    <mergeCell ref="A28:G28"/>
    <mergeCell ref="A29:G29"/>
    <mergeCell ref="B32:G32"/>
    <mergeCell ref="B33:G33"/>
    <mergeCell ref="B34:G34"/>
    <mergeCell ref="B35:G35"/>
    <mergeCell ref="B36:G36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4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2" min="10" style="0" width="7"/>
    <col collapsed="false" customWidth="true" hidden="false" outlineLevel="0" max="13" min="13" style="0" width="8"/>
    <col collapsed="false" customWidth="true" hidden="false" outlineLevel="0" max="15" min="14" style="0" width="13"/>
    <col collapsed="false" customWidth="true" hidden="false" outlineLevel="0" max="16" min="16" style="0" width="34"/>
  </cols>
  <sheetData>
    <row r="1" customFormat="false" ht="27.6" hidden="false" customHeight="false" outlineLevel="0" collapsed="false">
      <c r="A1" s="14" t="s">
        <v>43</v>
      </c>
      <c r="B1" s="15" t="s">
        <v>4</v>
      </c>
      <c r="C1" s="15" t="s">
        <v>45</v>
      </c>
      <c r="D1" s="15" t="s">
        <v>46</v>
      </c>
      <c r="E1" s="15" t="s">
        <v>47</v>
      </c>
      <c r="F1" s="15" t="s">
        <v>17</v>
      </c>
      <c r="G1" s="15" t="s">
        <v>48</v>
      </c>
      <c r="H1" s="15" t="s">
        <v>49</v>
      </c>
      <c r="I1" s="15" t="s">
        <v>50</v>
      </c>
      <c r="J1" s="14" t="s">
        <v>51</v>
      </c>
      <c r="K1" s="14" t="s">
        <v>52</v>
      </c>
      <c r="L1" s="14" t="s">
        <v>53</v>
      </c>
      <c r="M1" s="15" t="s">
        <v>54</v>
      </c>
      <c r="N1" s="15" t="s">
        <v>55</v>
      </c>
      <c r="O1" s="15" t="s">
        <v>39</v>
      </c>
      <c r="P1" s="15" t="s">
        <v>56</v>
      </c>
    </row>
    <row r="2" customFormat="false" ht="29.85" hidden="false" customHeight="false" outlineLevel="0" collapsed="false">
      <c r="A2" s="16" t="s">
        <v>57</v>
      </c>
      <c r="B2" s="17" t="s">
        <v>11</v>
      </c>
      <c r="C2" s="17" t="s">
        <v>58</v>
      </c>
      <c r="D2" s="18" t="s">
        <v>59</v>
      </c>
      <c r="E2" s="18" t="s">
        <v>60</v>
      </c>
      <c r="F2" s="17" t="s">
        <v>19</v>
      </c>
      <c r="G2" s="19" t="s">
        <v>61</v>
      </c>
      <c r="H2" s="16" t="s">
        <v>62</v>
      </c>
      <c r="I2" s="19" t="s">
        <v>63</v>
      </c>
      <c r="J2" s="20" t="n">
        <f aca="false">COUNTIFS(추적표!$A$2:$A$71,A2,추적표!$C$2:$C$71,"&lt;&gt;(없음)")</f>
        <v>2</v>
      </c>
      <c r="K2" s="17" t="n">
        <f aca="false">COUNTIFS(추적표!$A$2:$A$71,A2,추적표!$E$2:$E$71,"Pass")</f>
        <v>2</v>
      </c>
      <c r="L2" s="17" t="n">
        <f aca="false">COUNTIFS(추적표!$A$2:$A$71,A2,추적표!$E$2:$E$71,"Fail")</f>
        <v>0</v>
      </c>
      <c r="M2" s="17" t="n">
        <f aca="false">COUNTIFS(추적표!$A$2:$A$71,A2,추적표!$E$2:$E$71,"미수행")</f>
        <v>0</v>
      </c>
      <c r="N2" s="16" t="s">
        <v>64</v>
      </c>
      <c r="O2" s="17" t="s">
        <v>6</v>
      </c>
      <c r="P2" s="18"/>
    </row>
    <row r="3" customFormat="false" ht="29.85" hidden="false" customHeight="false" outlineLevel="0" collapsed="false">
      <c r="A3" s="16" t="s">
        <v>65</v>
      </c>
      <c r="B3" s="17" t="s">
        <v>11</v>
      </c>
      <c r="C3" s="17" t="s">
        <v>58</v>
      </c>
      <c r="D3" s="18" t="s">
        <v>66</v>
      </c>
      <c r="E3" s="18" t="s">
        <v>67</v>
      </c>
      <c r="F3" s="17" t="s">
        <v>19</v>
      </c>
      <c r="G3" s="19" t="s">
        <v>68</v>
      </c>
      <c r="H3" s="16" t="s">
        <v>62</v>
      </c>
      <c r="I3" s="19" t="s">
        <v>69</v>
      </c>
      <c r="J3" s="20" t="n">
        <f aca="false">COUNTIFS(추적표!$A$2:$A$71,A3,추적표!$C$2:$C$71,"&lt;&gt;(없음)")</f>
        <v>2</v>
      </c>
      <c r="K3" s="17" t="n">
        <f aca="false">COUNTIFS(추적표!$A$2:$A$71,A3,추적표!$E$2:$E$71,"Pass")</f>
        <v>2</v>
      </c>
      <c r="L3" s="17" t="n">
        <f aca="false">COUNTIFS(추적표!$A$2:$A$71,A3,추적표!$E$2:$E$71,"Fail")</f>
        <v>0</v>
      </c>
      <c r="M3" s="17" t="n">
        <f aca="false">COUNTIFS(추적표!$A$2:$A$71,A3,추적표!$E$2:$E$71,"미수행")</f>
        <v>0</v>
      </c>
      <c r="N3" s="16" t="s">
        <v>70</v>
      </c>
      <c r="O3" s="17" t="s">
        <v>6</v>
      </c>
      <c r="P3" s="18" t="s">
        <v>71</v>
      </c>
    </row>
    <row r="4" customFormat="false" ht="29.85" hidden="false" customHeight="false" outlineLevel="0" collapsed="false">
      <c r="A4" s="16" t="s">
        <v>72</v>
      </c>
      <c r="B4" s="17" t="s">
        <v>11</v>
      </c>
      <c r="C4" s="17" t="s">
        <v>58</v>
      </c>
      <c r="D4" s="18" t="s">
        <v>73</v>
      </c>
      <c r="E4" s="19" t="s">
        <v>74</v>
      </c>
      <c r="F4" s="17" t="s">
        <v>19</v>
      </c>
      <c r="G4" s="19" t="s">
        <v>75</v>
      </c>
      <c r="H4" s="16" t="s">
        <v>76</v>
      </c>
      <c r="I4" s="19" t="s">
        <v>77</v>
      </c>
      <c r="J4" s="20" t="n">
        <f aca="false">COUNTIFS(추적표!$A$2:$A$71,A4,추적표!$C$2:$C$71,"&lt;&gt;(없음)")</f>
        <v>4</v>
      </c>
      <c r="K4" s="17" t="n">
        <f aca="false">COUNTIFS(추적표!$A$2:$A$71,A4,추적표!$E$2:$E$71,"Pass")</f>
        <v>4</v>
      </c>
      <c r="L4" s="17" t="n">
        <f aca="false">COUNTIFS(추적표!$A$2:$A$71,A4,추적표!$E$2:$E$71,"Fail")</f>
        <v>0</v>
      </c>
      <c r="M4" s="17" t="n">
        <f aca="false">COUNTIFS(추적표!$A$2:$A$71,A4,추적표!$E$2:$E$71,"미수행")</f>
        <v>0</v>
      </c>
      <c r="N4" s="16" t="s">
        <v>64</v>
      </c>
      <c r="O4" s="17" t="s">
        <v>6</v>
      </c>
      <c r="P4" s="18" t="s">
        <v>78</v>
      </c>
    </row>
    <row r="5" customFormat="false" ht="29.85" hidden="false" customHeight="false" outlineLevel="0" collapsed="false">
      <c r="A5" s="16" t="s">
        <v>79</v>
      </c>
      <c r="B5" s="17" t="s">
        <v>11</v>
      </c>
      <c r="C5" s="17" t="s">
        <v>58</v>
      </c>
      <c r="D5" s="18" t="s">
        <v>80</v>
      </c>
      <c r="E5" s="19" t="s">
        <v>81</v>
      </c>
      <c r="F5" s="17" t="s">
        <v>19</v>
      </c>
      <c r="G5" s="19" t="s">
        <v>82</v>
      </c>
      <c r="H5" s="16" t="s">
        <v>76</v>
      </c>
      <c r="I5" s="19" t="s">
        <v>83</v>
      </c>
      <c r="J5" s="20" t="n">
        <f aca="false">COUNTIFS(추적표!$A$2:$A$71,A5,추적표!$C$2:$C$71,"&lt;&gt;(없음)")</f>
        <v>3</v>
      </c>
      <c r="K5" s="17" t="n">
        <f aca="false">COUNTIFS(추적표!$A$2:$A$71,A5,추적표!$E$2:$E$71,"Pass")</f>
        <v>3</v>
      </c>
      <c r="L5" s="17" t="n">
        <f aca="false">COUNTIFS(추적표!$A$2:$A$71,A5,추적표!$E$2:$E$71,"Fail")</f>
        <v>0</v>
      </c>
      <c r="M5" s="17" t="n">
        <f aca="false">COUNTIFS(추적표!$A$2:$A$71,A5,추적표!$E$2:$E$71,"미수행")</f>
        <v>0</v>
      </c>
      <c r="N5" s="16" t="s">
        <v>64</v>
      </c>
      <c r="O5" s="17" t="s">
        <v>6</v>
      </c>
      <c r="P5" s="18"/>
    </row>
    <row r="6" customFormat="false" ht="29.85" hidden="false" customHeight="false" outlineLevel="0" collapsed="false">
      <c r="A6" s="16" t="s">
        <v>84</v>
      </c>
      <c r="B6" s="17" t="s">
        <v>11</v>
      </c>
      <c r="C6" s="17" t="s">
        <v>58</v>
      </c>
      <c r="D6" s="18" t="s">
        <v>85</v>
      </c>
      <c r="E6" s="19" t="s">
        <v>86</v>
      </c>
      <c r="F6" s="21" t="s">
        <v>21</v>
      </c>
      <c r="G6" s="19" t="s">
        <v>87</v>
      </c>
      <c r="H6" s="16" t="s">
        <v>62</v>
      </c>
      <c r="I6" s="19" t="s">
        <v>88</v>
      </c>
      <c r="J6" s="20" t="n">
        <f aca="false">COUNTIFS(추적표!$A$2:$A$71,A6,추적표!$C$2:$C$71,"&lt;&gt;(없음)")</f>
        <v>1</v>
      </c>
      <c r="K6" s="17" t="n">
        <f aca="false">COUNTIFS(추적표!$A$2:$A$71,A6,추적표!$E$2:$E$71,"Pass")</f>
        <v>0</v>
      </c>
      <c r="L6" s="17" t="n">
        <f aca="false">COUNTIFS(추적표!$A$2:$A$71,A6,추적표!$E$2:$E$71,"Fail")</f>
        <v>1</v>
      </c>
      <c r="M6" s="17" t="n">
        <f aca="false">COUNTIFS(추적표!$A$2:$A$71,A6,추적표!$E$2:$E$71,"미수행")</f>
        <v>0</v>
      </c>
      <c r="N6" s="16" t="s">
        <v>89</v>
      </c>
      <c r="O6" s="17" t="s">
        <v>8</v>
      </c>
      <c r="P6" s="18" t="s">
        <v>90</v>
      </c>
    </row>
    <row r="7" customFormat="false" ht="29.85" hidden="false" customHeight="false" outlineLevel="0" collapsed="false">
      <c r="A7" s="16" t="s">
        <v>91</v>
      </c>
      <c r="B7" s="17" t="s">
        <v>11</v>
      </c>
      <c r="C7" s="17" t="s">
        <v>58</v>
      </c>
      <c r="D7" s="18" t="s">
        <v>92</v>
      </c>
      <c r="E7" s="18" t="s">
        <v>93</v>
      </c>
      <c r="F7" s="17" t="s">
        <v>19</v>
      </c>
      <c r="G7" s="19" t="s">
        <v>68</v>
      </c>
      <c r="H7" s="16" t="s">
        <v>62</v>
      </c>
      <c r="I7" s="19" t="s">
        <v>94</v>
      </c>
      <c r="J7" s="20" t="n">
        <f aca="false">COUNTIFS(추적표!$A$2:$A$71,A7,추적표!$C$2:$C$71,"&lt;&gt;(없음)")</f>
        <v>2</v>
      </c>
      <c r="K7" s="17" t="n">
        <f aca="false">COUNTIFS(추적표!$A$2:$A$71,A7,추적표!$E$2:$E$71,"Pass")</f>
        <v>2</v>
      </c>
      <c r="L7" s="17" t="n">
        <f aca="false">COUNTIFS(추적표!$A$2:$A$71,A7,추적표!$E$2:$E$71,"Fail")</f>
        <v>0</v>
      </c>
      <c r="M7" s="17" t="n">
        <f aca="false">COUNTIFS(추적표!$A$2:$A$71,A7,추적표!$E$2:$E$71,"미수행")</f>
        <v>0</v>
      </c>
      <c r="N7" s="16" t="s">
        <v>64</v>
      </c>
      <c r="O7" s="17" t="s">
        <v>6</v>
      </c>
      <c r="P7" s="18"/>
    </row>
    <row r="8" customFormat="false" ht="29.85" hidden="false" customHeight="false" outlineLevel="0" collapsed="false">
      <c r="A8" s="16" t="s">
        <v>95</v>
      </c>
      <c r="B8" s="17" t="s">
        <v>11</v>
      </c>
      <c r="C8" s="17" t="s">
        <v>96</v>
      </c>
      <c r="D8" s="18" t="s">
        <v>97</v>
      </c>
      <c r="E8" s="18" t="s">
        <v>98</v>
      </c>
      <c r="F8" s="21" t="s">
        <v>21</v>
      </c>
      <c r="G8" s="19" t="s">
        <v>99</v>
      </c>
      <c r="H8" s="16" t="s">
        <v>76</v>
      </c>
      <c r="I8" s="19" t="s">
        <v>100</v>
      </c>
      <c r="J8" s="20" t="n">
        <f aca="false">COUNTIFS(추적표!$A$2:$A$71,A8,추적표!$C$2:$C$71,"&lt;&gt;(없음)")</f>
        <v>2</v>
      </c>
      <c r="K8" s="17" t="n">
        <f aca="false">COUNTIFS(추적표!$A$2:$A$71,A8,추적표!$E$2:$E$71,"Pass")</f>
        <v>2</v>
      </c>
      <c r="L8" s="17" t="n">
        <f aca="false">COUNTIFS(추적표!$A$2:$A$71,A8,추적표!$E$2:$E$71,"Fail")</f>
        <v>0</v>
      </c>
      <c r="M8" s="17" t="n">
        <f aca="false">COUNTIFS(추적표!$A$2:$A$71,A8,추적표!$E$2:$E$71,"미수행")</f>
        <v>0</v>
      </c>
      <c r="N8" s="16" t="s">
        <v>64</v>
      </c>
      <c r="O8" s="17" t="s">
        <v>6</v>
      </c>
      <c r="P8" s="18" t="s">
        <v>101</v>
      </c>
    </row>
    <row r="9" customFormat="false" ht="29.85" hidden="false" customHeight="false" outlineLevel="0" collapsed="false">
      <c r="A9" s="16" t="s">
        <v>102</v>
      </c>
      <c r="B9" s="17" t="s">
        <v>11</v>
      </c>
      <c r="C9" s="17" t="s">
        <v>58</v>
      </c>
      <c r="D9" s="18" t="s">
        <v>103</v>
      </c>
      <c r="E9" s="18" t="s">
        <v>104</v>
      </c>
      <c r="F9" s="21" t="s">
        <v>21</v>
      </c>
      <c r="G9" s="19" t="s">
        <v>105</v>
      </c>
      <c r="H9" s="16" t="s">
        <v>62</v>
      </c>
      <c r="I9" s="19" t="s">
        <v>106</v>
      </c>
      <c r="J9" s="20" t="n">
        <f aca="false">COUNTIFS(추적표!$A$2:$A$71,A9,추적표!$C$2:$C$71,"&lt;&gt;(없음)")</f>
        <v>1</v>
      </c>
      <c r="K9" s="17" t="n">
        <f aca="false">COUNTIFS(추적표!$A$2:$A$71,A9,추적표!$E$2:$E$71,"Pass")</f>
        <v>0</v>
      </c>
      <c r="L9" s="17" t="n">
        <f aca="false">COUNTIFS(추적표!$A$2:$A$71,A9,추적표!$E$2:$E$71,"Fail")</f>
        <v>1</v>
      </c>
      <c r="M9" s="17" t="n">
        <f aca="false">COUNTIFS(추적표!$A$2:$A$71,A9,추적표!$E$2:$E$71,"미수행")</f>
        <v>0</v>
      </c>
      <c r="N9" s="16" t="s">
        <v>107</v>
      </c>
      <c r="O9" s="17" t="s">
        <v>8</v>
      </c>
      <c r="P9" s="18" t="s">
        <v>108</v>
      </c>
    </row>
    <row r="10" customFormat="false" ht="29.85" hidden="false" customHeight="false" outlineLevel="0" collapsed="false">
      <c r="A10" s="16" t="s">
        <v>109</v>
      </c>
      <c r="B10" s="17" t="s">
        <v>11</v>
      </c>
      <c r="C10" s="17" t="s">
        <v>110</v>
      </c>
      <c r="D10" s="18" t="s">
        <v>111</v>
      </c>
      <c r="E10" s="19" t="s">
        <v>112</v>
      </c>
      <c r="F10" s="17" t="s">
        <v>19</v>
      </c>
      <c r="G10" s="19" t="s">
        <v>113</v>
      </c>
      <c r="H10" s="16" t="s">
        <v>62</v>
      </c>
      <c r="I10" s="19" t="s">
        <v>114</v>
      </c>
      <c r="J10" s="20" t="n">
        <f aca="false">COUNTIFS(추적표!$A$2:$A$71,A10,추적표!$C$2:$C$71,"&lt;&gt;(없음)")</f>
        <v>2</v>
      </c>
      <c r="K10" s="17" t="n">
        <f aca="false">COUNTIFS(추적표!$A$2:$A$71,A10,추적표!$E$2:$E$71,"Pass")</f>
        <v>2</v>
      </c>
      <c r="L10" s="17" t="n">
        <f aca="false">COUNTIFS(추적표!$A$2:$A$71,A10,추적표!$E$2:$E$71,"Fail")</f>
        <v>0</v>
      </c>
      <c r="M10" s="17" t="n">
        <f aca="false">COUNTIFS(추적표!$A$2:$A$71,A10,추적표!$E$2:$E$71,"미수행")</f>
        <v>0</v>
      </c>
      <c r="N10" s="16" t="s">
        <v>64</v>
      </c>
      <c r="O10" s="17" t="s">
        <v>6</v>
      </c>
      <c r="P10" s="18"/>
    </row>
    <row r="11" customFormat="false" ht="29.85" hidden="false" customHeight="false" outlineLevel="0" collapsed="false">
      <c r="A11" s="16" t="s">
        <v>115</v>
      </c>
      <c r="B11" s="17" t="s">
        <v>11</v>
      </c>
      <c r="C11" s="17" t="s">
        <v>110</v>
      </c>
      <c r="D11" s="18" t="s">
        <v>116</v>
      </c>
      <c r="E11" s="18" t="s">
        <v>117</v>
      </c>
      <c r="F11" s="17" t="s">
        <v>19</v>
      </c>
      <c r="G11" s="19" t="s">
        <v>118</v>
      </c>
      <c r="H11" s="16" t="s">
        <v>62</v>
      </c>
      <c r="I11" s="19" t="s">
        <v>119</v>
      </c>
      <c r="J11" s="20" t="n">
        <f aca="false">COUNTIFS(추적표!$A$2:$A$71,A11,추적표!$C$2:$C$71,"&lt;&gt;(없음)")</f>
        <v>6</v>
      </c>
      <c r="K11" s="17" t="n">
        <f aca="false">COUNTIFS(추적표!$A$2:$A$71,A11,추적표!$E$2:$E$71,"Pass")</f>
        <v>6</v>
      </c>
      <c r="L11" s="17" t="n">
        <f aca="false">COUNTIFS(추적표!$A$2:$A$71,A11,추적표!$E$2:$E$71,"Fail")</f>
        <v>0</v>
      </c>
      <c r="M11" s="17" t="n">
        <f aca="false">COUNTIFS(추적표!$A$2:$A$71,A11,추적표!$E$2:$E$71,"미수행")</f>
        <v>0</v>
      </c>
      <c r="N11" s="16" t="s">
        <v>64</v>
      </c>
      <c r="O11" s="17" t="s">
        <v>6</v>
      </c>
      <c r="P11" s="18"/>
    </row>
    <row r="12" customFormat="false" ht="25.35" hidden="false" customHeight="false" outlineLevel="0" collapsed="false">
      <c r="A12" s="16" t="s">
        <v>120</v>
      </c>
      <c r="B12" s="17" t="s">
        <v>11</v>
      </c>
      <c r="C12" s="17" t="s">
        <v>110</v>
      </c>
      <c r="D12" s="18" t="s">
        <v>121</v>
      </c>
      <c r="E12" s="19" t="s">
        <v>122</v>
      </c>
      <c r="F12" s="17" t="s">
        <v>20</v>
      </c>
      <c r="G12" s="19" t="s">
        <v>123</v>
      </c>
      <c r="H12" s="16" t="s">
        <v>124</v>
      </c>
      <c r="I12" s="19" t="s">
        <v>125</v>
      </c>
      <c r="J12" s="20" t="n">
        <f aca="false">COUNTIFS(추적표!$A$2:$A$71,A12,추적표!$C$2:$C$71,"&lt;&gt;(없음)")</f>
        <v>1</v>
      </c>
      <c r="K12" s="17" t="n">
        <f aca="false">COUNTIFS(추적표!$A$2:$A$71,A12,추적표!$E$2:$E$71,"Pass")</f>
        <v>1</v>
      </c>
      <c r="L12" s="17" t="n">
        <f aca="false">COUNTIFS(추적표!$A$2:$A$71,A12,추적표!$E$2:$E$71,"Fail")</f>
        <v>0</v>
      </c>
      <c r="M12" s="17" t="n">
        <f aca="false">COUNTIFS(추적표!$A$2:$A$71,A12,추적표!$E$2:$E$71,"미수행")</f>
        <v>0</v>
      </c>
      <c r="N12" s="16" t="s">
        <v>64</v>
      </c>
      <c r="O12" s="17" t="s">
        <v>6</v>
      </c>
      <c r="P12" s="18"/>
    </row>
    <row r="13" customFormat="false" ht="29.85" hidden="false" customHeight="false" outlineLevel="0" collapsed="false">
      <c r="A13" s="16" t="s">
        <v>126</v>
      </c>
      <c r="B13" s="17" t="s">
        <v>11</v>
      </c>
      <c r="C13" s="17" t="s">
        <v>110</v>
      </c>
      <c r="D13" s="18" t="s">
        <v>127</v>
      </c>
      <c r="E13" s="19" t="s">
        <v>128</v>
      </c>
      <c r="F13" s="17" t="s">
        <v>19</v>
      </c>
      <c r="G13" s="19" t="s">
        <v>129</v>
      </c>
      <c r="H13" s="16" t="s">
        <v>76</v>
      </c>
      <c r="I13" s="19" t="s">
        <v>130</v>
      </c>
      <c r="J13" s="20" t="n">
        <f aca="false">COUNTIFS(추적표!$A$2:$A$71,A13,추적표!$C$2:$C$71,"&lt;&gt;(없음)")</f>
        <v>1</v>
      </c>
      <c r="K13" s="17" t="n">
        <f aca="false">COUNTIFS(추적표!$A$2:$A$71,A13,추적표!$E$2:$E$71,"Pass")</f>
        <v>1</v>
      </c>
      <c r="L13" s="17" t="n">
        <f aca="false">COUNTIFS(추적표!$A$2:$A$71,A13,추적표!$E$2:$E$71,"Fail")</f>
        <v>0</v>
      </c>
      <c r="M13" s="17" t="n">
        <f aca="false">COUNTIFS(추적표!$A$2:$A$71,A13,추적표!$E$2:$E$71,"미수행")</f>
        <v>0</v>
      </c>
      <c r="N13" s="16" t="s">
        <v>64</v>
      </c>
      <c r="O13" s="17" t="s">
        <v>6</v>
      </c>
      <c r="P13" s="18"/>
    </row>
    <row r="14" customFormat="false" ht="29.85" hidden="false" customHeight="false" outlineLevel="0" collapsed="false">
      <c r="A14" s="16" t="s">
        <v>131</v>
      </c>
      <c r="B14" s="17" t="s">
        <v>11</v>
      </c>
      <c r="C14" s="17" t="s">
        <v>110</v>
      </c>
      <c r="D14" s="18" t="s">
        <v>132</v>
      </c>
      <c r="E14" s="18" t="s">
        <v>133</v>
      </c>
      <c r="F14" s="17" t="s">
        <v>19</v>
      </c>
      <c r="G14" s="19" t="s">
        <v>134</v>
      </c>
      <c r="H14" s="16" t="s">
        <v>124</v>
      </c>
      <c r="I14" s="19" t="s">
        <v>135</v>
      </c>
      <c r="J14" s="20" t="n">
        <f aca="false">COUNTIFS(추적표!$A$2:$A$71,A14,추적표!$C$2:$C$71,"&lt;&gt;(없음)")</f>
        <v>2</v>
      </c>
      <c r="K14" s="17" t="n">
        <f aca="false">COUNTIFS(추적표!$A$2:$A$71,A14,추적표!$E$2:$E$71,"Pass")</f>
        <v>2</v>
      </c>
      <c r="L14" s="17" t="n">
        <f aca="false">COUNTIFS(추적표!$A$2:$A$71,A14,추적표!$E$2:$E$71,"Fail")</f>
        <v>0</v>
      </c>
      <c r="M14" s="17" t="n">
        <f aca="false">COUNTIFS(추적표!$A$2:$A$71,A14,추적표!$E$2:$E$71,"미수행")</f>
        <v>0</v>
      </c>
      <c r="N14" s="16" t="s">
        <v>64</v>
      </c>
      <c r="O14" s="17" t="s">
        <v>6</v>
      </c>
      <c r="P14" s="18"/>
    </row>
    <row r="15" customFormat="false" ht="29.85" hidden="false" customHeight="false" outlineLevel="0" collapsed="false">
      <c r="A15" s="16" t="s">
        <v>136</v>
      </c>
      <c r="B15" s="17" t="s">
        <v>11</v>
      </c>
      <c r="C15" s="17" t="s">
        <v>137</v>
      </c>
      <c r="D15" s="18" t="s">
        <v>138</v>
      </c>
      <c r="E15" s="19" t="s">
        <v>139</v>
      </c>
      <c r="F15" s="17" t="s">
        <v>19</v>
      </c>
      <c r="G15" s="19" t="s">
        <v>140</v>
      </c>
      <c r="H15" s="16" t="s">
        <v>76</v>
      </c>
      <c r="I15" s="19" t="s">
        <v>141</v>
      </c>
      <c r="J15" s="20" t="n">
        <f aca="false">COUNTIFS(추적표!$A$2:$A$71,A15,추적표!$C$2:$C$71,"&lt;&gt;(없음)")</f>
        <v>2</v>
      </c>
      <c r="K15" s="17" t="n">
        <f aca="false">COUNTIFS(추적표!$A$2:$A$71,A15,추적표!$E$2:$E$71,"Pass")</f>
        <v>2</v>
      </c>
      <c r="L15" s="17" t="n">
        <f aca="false">COUNTIFS(추적표!$A$2:$A$71,A15,추적표!$E$2:$E$71,"Fail")</f>
        <v>0</v>
      </c>
      <c r="M15" s="17" t="n">
        <f aca="false">COUNTIFS(추적표!$A$2:$A$71,A15,추적표!$E$2:$E$71,"미수행")</f>
        <v>0</v>
      </c>
      <c r="N15" s="16" t="s">
        <v>142</v>
      </c>
      <c r="O15" s="17" t="s">
        <v>143</v>
      </c>
      <c r="P15" s="18" t="s">
        <v>144</v>
      </c>
    </row>
    <row r="16" customFormat="false" ht="29.85" hidden="false" customHeight="false" outlineLevel="0" collapsed="false">
      <c r="A16" s="16" t="s">
        <v>145</v>
      </c>
      <c r="B16" s="17" t="s">
        <v>11</v>
      </c>
      <c r="C16" s="17" t="s">
        <v>137</v>
      </c>
      <c r="D16" s="18" t="s">
        <v>146</v>
      </c>
      <c r="E16" s="18" t="s">
        <v>147</v>
      </c>
      <c r="F16" s="17" t="s">
        <v>19</v>
      </c>
      <c r="G16" s="19" t="s">
        <v>148</v>
      </c>
      <c r="H16" s="16" t="s">
        <v>62</v>
      </c>
      <c r="I16" s="19" t="s">
        <v>149</v>
      </c>
      <c r="J16" s="20" t="n">
        <f aca="false">COUNTIFS(추적표!$A$2:$A$71,A16,추적표!$C$2:$C$71,"&lt;&gt;(없음)")</f>
        <v>1</v>
      </c>
      <c r="K16" s="17" t="n">
        <f aca="false">COUNTIFS(추적표!$A$2:$A$71,A16,추적표!$E$2:$E$71,"Pass")</f>
        <v>1</v>
      </c>
      <c r="L16" s="17" t="n">
        <f aca="false">COUNTIFS(추적표!$A$2:$A$71,A16,추적표!$E$2:$E$71,"Fail")</f>
        <v>0</v>
      </c>
      <c r="M16" s="17" t="n">
        <f aca="false">COUNTIFS(추적표!$A$2:$A$71,A16,추적표!$E$2:$E$71,"미수행")</f>
        <v>0</v>
      </c>
      <c r="N16" s="16" t="s">
        <v>64</v>
      </c>
      <c r="O16" s="17" t="s">
        <v>6</v>
      </c>
      <c r="P16" s="18"/>
    </row>
    <row r="17" customFormat="false" ht="29.85" hidden="false" customHeight="false" outlineLevel="0" collapsed="false">
      <c r="A17" s="16" t="s">
        <v>150</v>
      </c>
      <c r="B17" s="17" t="s">
        <v>11</v>
      </c>
      <c r="C17" s="17" t="s">
        <v>137</v>
      </c>
      <c r="D17" s="18" t="s">
        <v>151</v>
      </c>
      <c r="E17" s="18" t="s">
        <v>152</v>
      </c>
      <c r="F17" s="17" t="s">
        <v>20</v>
      </c>
      <c r="G17" s="19" t="s">
        <v>153</v>
      </c>
      <c r="H17" s="16" t="s">
        <v>76</v>
      </c>
      <c r="I17" s="19" t="s">
        <v>154</v>
      </c>
      <c r="J17" s="20" t="n">
        <f aca="false">COUNTIFS(추적표!$A$2:$A$71,A17,추적표!$C$2:$C$71,"&lt;&gt;(없음)")</f>
        <v>1</v>
      </c>
      <c r="K17" s="17" t="n">
        <f aca="false">COUNTIFS(추적표!$A$2:$A$71,A17,추적표!$E$2:$E$71,"Pass")</f>
        <v>1</v>
      </c>
      <c r="L17" s="17" t="n">
        <f aca="false">COUNTIFS(추적표!$A$2:$A$71,A17,추적표!$E$2:$E$71,"Fail")</f>
        <v>0</v>
      </c>
      <c r="M17" s="17" t="n">
        <f aca="false">COUNTIFS(추적표!$A$2:$A$71,A17,추적표!$E$2:$E$71,"미수행")</f>
        <v>0</v>
      </c>
      <c r="N17" s="16" t="s">
        <v>64</v>
      </c>
      <c r="O17" s="17" t="s">
        <v>6</v>
      </c>
      <c r="P17" s="18"/>
    </row>
    <row r="18" customFormat="false" ht="15" hidden="false" customHeight="false" outlineLevel="0" collapsed="false">
      <c r="A18" s="16" t="s">
        <v>155</v>
      </c>
      <c r="B18" s="17" t="s">
        <v>11</v>
      </c>
      <c r="C18" s="17" t="s">
        <v>137</v>
      </c>
      <c r="D18" s="18" t="s">
        <v>156</v>
      </c>
      <c r="E18" s="18" t="s">
        <v>157</v>
      </c>
      <c r="F18" s="21" t="s">
        <v>21</v>
      </c>
      <c r="G18" s="18" t="s">
        <v>158</v>
      </c>
      <c r="H18" s="16" t="s">
        <v>124</v>
      </c>
      <c r="I18" s="19" t="s">
        <v>159</v>
      </c>
      <c r="J18" s="20" t="n">
        <f aca="false">COUNTIFS(추적표!$A$2:$A$71,A18,추적표!$C$2:$C$71,"&lt;&gt;(없음)")</f>
        <v>1</v>
      </c>
      <c r="K18" s="17" t="n">
        <f aca="false">COUNTIFS(추적표!$A$2:$A$71,A18,추적표!$E$2:$E$71,"Pass")</f>
        <v>1</v>
      </c>
      <c r="L18" s="17" t="n">
        <f aca="false">COUNTIFS(추적표!$A$2:$A$71,A18,추적표!$E$2:$E$71,"Fail")</f>
        <v>0</v>
      </c>
      <c r="M18" s="17" t="n">
        <f aca="false">COUNTIFS(추적표!$A$2:$A$71,A18,추적표!$E$2:$E$71,"미수행")</f>
        <v>0</v>
      </c>
      <c r="N18" s="16" t="s">
        <v>64</v>
      </c>
      <c r="O18" s="17" t="s">
        <v>143</v>
      </c>
      <c r="P18" s="18"/>
    </row>
    <row r="19" customFormat="false" ht="44" hidden="false" customHeight="false" outlineLevel="0" collapsed="false">
      <c r="A19" s="16" t="s">
        <v>160</v>
      </c>
      <c r="B19" s="17" t="s">
        <v>11</v>
      </c>
      <c r="C19" s="17" t="s">
        <v>161</v>
      </c>
      <c r="D19" s="19" t="s">
        <v>162</v>
      </c>
      <c r="E19" s="18" t="s">
        <v>163</v>
      </c>
      <c r="F19" s="17" t="s">
        <v>19</v>
      </c>
      <c r="G19" s="19" t="s">
        <v>164</v>
      </c>
      <c r="H19" s="16" t="s">
        <v>62</v>
      </c>
      <c r="I19" s="19" t="s">
        <v>165</v>
      </c>
      <c r="J19" s="20" t="n">
        <f aca="false">COUNTIFS(추적표!$A$2:$A$71,A19,추적표!$C$2:$C$71,"&lt;&gt;(없음)")</f>
        <v>3</v>
      </c>
      <c r="K19" s="17" t="n">
        <f aca="false">COUNTIFS(추적표!$A$2:$A$71,A19,추적표!$E$2:$E$71,"Pass")</f>
        <v>3</v>
      </c>
      <c r="L19" s="17" t="n">
        <f aca="false">COUNTIFS(추적표!$A$2:$A$71,A19,추적표!$E$2:$E$71,"Fail")</f>
        <v>0</v>
      </c>
      <c r="M19" s="17" t="n">
        <f aca="false">COUNTIFS(추적표!$A$2:$A$71,A19,추적표!$E$2:$E$71,"미수행")</f>
        <v>0</v>
      </c>
      <c r="N19" s="16" t="s">
        <v>64</v>
      </c>
      <c r="O19" s="17" t="s">
        <v>6</v>
      </c>
      <c r="P19" s="18"/>
    </row>
    <row r="20" customFormat="false" ht="29.85" hidden="false" customHeight="false" outlineLevel="0" collapsed="false">
      <c r="A20" s="16" t="s">
        <v>166</v>
      </c>
      <c r="B20" s="17" t="s">
        <v>11</v>
      </c>
      <c r="C20" s="17" t="s">
        <v>161</v>
      </c>
      <c r="D20" s="18" t="s">
        <v>167</v>
      </c>
      <c r="E20" s="18" t="s">
        <v>168</v>
      </c>
      <c r="F20" s="17" t="s">
        <v>19</v>
      </c>
      <c r="G20" s="19" t="s">
        <v>169</v>
      </c>
      <c r="H20" s="16" t="s">
        <v>124</v>
      </c>
      <c r="I20" s="19" t="s">
        <v>170</v>
      </c>
      <c r="J20" s="20" t="n">
        <f aca="false">COUNTIFS(추적표!$A$2:$A$71,A20,추적표!$C$2:$C$71,"&lt;&gt;(없음)")</f>
        <v>1</v>
      </c>
      <c r="K20" s="17" t="n">
        <f aca="false">COUNTIFS(추적표!$A$2:$A$71,A20,추적표!$E$2:$E$71,"Pass")</f>
        <v>1</v>
      </c>
      <c r="L20" s="17" t="n">
        <f aca="false">COUNTIFS(추적표!$A$2:$A$71,A20,추적표!$E$2:$E$71,"Fail")</f>
        <v>0</v>
      </c>
      <c r="M20" s="17" t="n">
        <f aca="false">COUNTIFS(추적표!$A$2:$A$71,A20,추적표!$E$2:$E$71,"미수행")</f>
        <v>0</v>
      </c>
      <c r="N20" s="16" t="s">
        <v>64</v>
      </c>
      <c r="O20" s="17" t="s">
        <v>6</v>
      </c>
      <c r="P20" s="18" t="s">
        <v>171</v>
      </c>
    </row>
    <row r="21" customFormat="false" ht="29.85" hidden="false" customHeight="false" outlineLevel="0" collapsed="false">
      <c r="A21" s="16" t="s">
        <v>172</v>
      </c>
      <c r="B21" s="17" t="s">
        <v>11</v>
      </c>
      <c r="C21" s="17" t="s">
        <v>173</v>
      </c>
      <c r="D21" s="18" t="s">
        <v>174</v>
      </c>
      <c r="E21" s="18" t="s">
        <v>175</v>
      </c>
      <c r="F21" s="17" t="s">
        <v>18</v>
      </c>
      <c r="G21" s="18" t="s">
        <v>176</v>
      </c>
      <c r="H21" s="16" t="s">
        <v>62</v>
      </c>
      <c r="I21" s="19" t="s">
        <v>177</v>
      </c>
      <c r="J21" s="20" t="n">
        <f aca="false">COUNTIFS(추적표!$A$2:$A$71,A21,추적표!$C$2:$C$71,"&lt;&gt;(없음)")</f>
        <v>1</v>
      </c>
      <c r="K21" s="17" t="n">
        <f aca="false">COUNTIFS(추적표!$A$2:$A$71,A21,추적표!$E$2:$E$71,"Pass")</f>
        <v>0</v>
      </c>
      <c r="L21" s="17" t="n">
        <f aca="false">COUNTIFS(추적표!$A$2:$A$71,A21,추적표!$E$2:$E$71,"Fail")</f>
        <v>0</v>
      </c>
      <c r="M21" s="17" t="n">
        <f aca="false">COUNTIFS(추적표!$A$2:$A$71,A21,추적표!$E$2:$E$71,"미수행")</f>
        <v>1</v>
      </c>
      <c r="N21" s="16" t="s">
        <v>64</v>
      </c>
      <c r="O21" s="17" t="s">
        <v>9</v>
      </c>
      <c r="P21" s="18" t="s">
        <v>178</v>
      </c>
    </row>
    <row r="22" customFormat="false" ht="29.85" hidden="false" customHeight="false" outlineLevel="0" collapsed="false">
      <c r="A22" s="16" t="s">
        <v>179</v>
      </c>
      <c r="B22" s="17" t="s">
        <v>11</v>
      </c>
      <c r="C22" s="17" t="s">
        <v>173</v>
      </c>
      <c r="D22" s="18" t="s">
        <v>180</v>
      </c>
      <c r="E22" s="18" t="s">
        <v>181</v>
      </c>
      <c r="F22" s="17" t="s">
        <v>18</v>
      </c>
      <c r="G22" s="18" t="s">
        <v>176</v>
      </c>
      <c r="H22" s="16" t="s">
        <v>76</v>
      </c>
      <c r="I22" s="19" t="s">
        <v>182</v>
      </c>
      <c r="J22" s="20" t="n">
        <f aca="false">COUNTIFS(추적표!$A$2:$A$71,A22,추적표!$C$2:$C$71,"&lt;&gt;(없음)")</f>
        <v>1</v>
      </c>
      <c r="K22" s="17" t="n">
        <f aca="false">COUNTIFS(추적표!$A$2:$A$71,A22,추적표!$E$2:$E$71,"Pass")</f>
        <v>0</v>
      </c>
      <c r="L22" s="17" t="n">
        <f aca="false">COUNTIFS(추적표!$A$2:$A$71,A22,추적표!$E$2:$E$71,"Fail")</f>
        <v>0</v>
      </c>
      <c r="M22" s="17" t="n">
        <f aca="false">COUNTIFS(추적표!$A$2:$A$71,A22,추적표!$E$2:$E$71,"미수행")</f>
        <v>1</v>
      </c>
      <c r="N22" s="16" t="s">
        <v>64</v>
      </c>
      <c r="O22" s="17" t="s">
        <v>9</v>
      </c>
      <c r="P22" s="18" t="s">
        <v>178</v>
      </c>
    </row>
    <row r="23" customFormat="false" ht="25.35" hidden="false" customHeight="false" outlineLevel="0" collapsed="false">
      <c r="A23" s="16" t="s">
        <v>183</v>
      </c>
      <c r="B23" s="17" t="s">
        <v>12</v>
      </c>
      <c r="C23" s="17" t="s">
        <v>58</v>
      </c>
      <c r="D23" s="18" t="s">
        <v>184</v>
      </c>
      <c r="E23" s="19" t="s">
        <v>185</v>
      </c>
      <c r="F23" s="17" t="s">
        <v>19</v>
      </c>
      <c r="G23" s="19" t="s">
        <v>186</v>
      </c>
      <c r="H23" s="16" t="s">
        <v>62</v>
      </c>
      <c r="I23" s="19" t="s">
        <v>187</v>
      </c>
      <c r="J23" s="20" t="n">
        <f aca="false">COUNTIFS(추적표!$A$2:$A$71,A23,추적표!$C$2:$C$71,"&lt;&gt;(없음)")</f>
        <v>2</v>
      </c>
      <c r="K23" s="17" t="n">
        <f aca="false">COUNTIFS(추적표!$A$2:$A$71,A23,추적표!$E$2:$E$71,"Pass")</f>
        <v>2</v>
      </c>
      <c r="L23" s="17" t="n">
        <f aca="false">COUNTIFS(추적표!$A$2:$A$71,A23,추적표!$E$2:$E$71,"Fail")</f>
        <v>0</v>
      </c>
      <c r="M23" s="17" t="n">
        <f aca="false">COUNTIFS(추적표!$A$2:$A$71,A23,추적표!$E$2:$E$71,"미수행")</f>
        <v>0</v>
      </c>
      <c r="N23" s="16" t="s">
        <v>64</v>
      </c>
      <c r="O23" s="17" t="s">
        <v>6</v>
      </c>
      <c r="P23" s="18"/>
    </row>
    <row r="24" customFormat="false" ht="29.85" hidden="false" customHeight="false" outlineLevel="0" collapsed="false">
      <c r="A24" s="16" t="s">
        <v>188</v>
      </c>
      <c r="B24" s="17" t="s">
        <v>12</v>
      </c>
      <c r="C24" s="17" t="s">
        <v>110</v>
      </c>
      <c r="D24" s="18" t="s">
        <v>189</v>
      </c>
      <c r="E24" s="18" t="s">
        <v>190</v>
      </c>
      <c r="F24" s="21" t="s">
        <v>21</v>
      </c>
      <c r="G24" s="18" t="s">
        <v>191</v>
      </c>
      <c r="H24" s="16" t="s">
        <v>62</v>
      </c>
      <c r="I24" s="19" t="s">
        <v>192</v>
      </c>
      <c r="J24" s="20" t="n">
        <f aca="false">COUNTIFS(추적표!$A$2:$A$71,A24,추적표!$C$2:$C$71,"&lt;&gt;(없음)")</f>
        <v>2</v>
      </c>
      <c r="K24" s="17" t="n">
        <f aca="false">COUNTIFS(추적표!$A$2:$A$71,A24,추적표!$E$2:$E$71,"Pass")</f>
        <v>2</v>
      </c>
      <c r="L24" s="17" t="n">
        <f aca="false">COUNTIFS(추적표!$A$2:$A$71,A24,추적표!$E$2:$E$71,"Fail")</f>
        <v>0</v>
      </c>
      <c r="M24" s="17" t="n">
        <f aca="false">COUNTIFS(추적표!$A$2:$A$71,A24,추적표!$E$2:$E$71,"미수행")</f>
        <v>0</v>
      </c>
      <c r="N24" s="16" t="s">
        <v>193</v>
      </c>
      <c r="O24" s="17" t="s">
        <v>143</v>
      </c>
      <c r="P24" s="18" t="s">
        <v>194</v>
      </c>
    </row>
    <row r="25" customFormat="false" ht="15" hidden="false" customHeight="false" outlineLevel="0" collapsed="false">
      <c r="A25" s="16" t="s">
        <v>195</v>
      </c>
      <c r="B25" s="17" t="s">
        <v>12</v>
      </c>
      <c r="C25" s="17" t="s">
        <v>110</v>
      </c>
      <c r="D25" s="18" t="s">
        <v>196</v>
      </c>
      <c r="E25" s="18" t="s">
        <v>197</v>
      </c>
      <c r="F25" s="21" t="s">
        <v>21</v>
      </c>
      <c r="G25" s="19" t="s">
        <v>198</v>
      </c>
      <c r="H25" s="16" t="s">
        <v>62</v>
      </c>
      <c r="I25" s="19" t="s">
        <v>199</v>
      </c>
      <c r="J25" s="20" t="n">
        <f aca="false">COUNTIFS(추적표!$A$2:$A$71,A25,추적표!$C$2:$C$71,"&lt;&gt;(없음)")</f>
        <v>1</v>
      </c>
      <c r="K25" s="17" t="n">
        <f aca="false">COUNTIFS(추적표!$A$2:$A$71,A25,추적표!$E$2:$E$71,"Pass")</f>
        <v>1</v>
      </c>
      <c r="L25" s="17" t="n">
        <f aca="false">COUNTIFS(추적표!$A$2:$A$71,A25,추적표!$E$2:$E$71,"Fail")</f>
        <v>0</v>
      </c>
      <c r="M25" s="17" t="n">
        <f aca="false">COUNTIFS(추적표!$A$2:$A$71,A25,추적표!$E$2:$E$71,"미수행")</f>
        <v>0</v>
      </c>
      <c r="N25" s="16" t="s">
        <v>64</v>
      </c>
      <c r="O25" s="17" t="s">
        <v>6</v>
      </c>
      <c r="P25" s="18"/>
    </row>
    <row r="26" customFormat="false" ht="15" hidden="false" customHeight="false" outlineLevel="0" collapsed="false">
      <c r="A26" s="16" t="s">
        <v>200</v>
      </c>
      <c r="B26" s="17" t="s">
        <v>12</v>
      </c>
      <c r="C26" s="17" t="s">
        <v>110</v>
      </c>
      <c r="D26" s="18" t="s">
        <v>201</v>
      </c>
      <c r="E26" s="18" t="s">
        <v>202</v>
      </c>
      <c r="F26" s="21" t="s">
        <v>21</v>
      </c>
      <c r="G26" s="18" t="s">
        <v>203</v>
      </c>
      <c r="H26" s="16" t="s">
        <v>76</v>
      </c>
      <c r="I26" s="19" t="s">
        <v>204</v>
      </c>
      <c r="J26" s="20" t="n">
        <f aca="false">COUNTIFS(추적표!$A$2:$A$71,A26,추적표!$C$2:$C$71,"&lt;&gt;(없음)")</f>
        <v>1</v>
      </c>
      <c r="K26" s="17" t="n">
        <f aca="false">COUNTIFS(추적표!$A$2:$A$71,A26,추적표!$E$2:$E$71,"Pass")</f>
        <v>1</v>
      </c>
      <c r="L26" s="17" t="n">
        <f aca="false">COUNTIFS(추적표!$A$2:$A$71,A26,추적표!$E$2:$E$71,"Fail")</f>
        <v>0</v>
      </c>
      <c r="M26" s="17" t="n">
        <f aca="false">COUNTIFS(추적표!$A$2:$A$71,A26,추적표!$E$2:$E$71,"미수행")</f>
        <v>0</v>
      </c>
      <c r="N26" s="16" t="s">
        <v>64</v>
      </c>
      <c r="O26" s="17" t="s">
        <v>6</v>
      </c>
      <c r="P26" s="18"/>
    </row>
    <row r="27" customFormat="false" ht="29.85" hidden="false" customHeight="false" outlineLevel="0" collapsed="false">
      <c r="A27" s="16" t="s">
        <v>205</v>
      </c>
      <c r="B27" s="17" t="s">
        <v>12</v>
      </c>
      <c r="C27" s="17" t="s">
        <v>137</v>
      </c>
      <c r="D27" s="18" t="s">
        <v>206</v>
      </c>
      <c r="E27" s="18" t="s">
        <v>207</v>
      </c>
      <c r="F27" s="17" t="s">
        <v>19</v>
      </c>
      <c r="G27" s="19" t="s">
        <v>208</v>
      </c>
      <c r="H27" s="16" t="s">
        <v>62</v>
      </c>
      <c r="I27" s="19" t="s">
        <v>209</v>
      </c>
      <c r="J27" s="20" t="n">
        <f aca="false">COUNTIFS(추적표!$A$2:$A$71,A27,추적표!$C$2:$C$71,"&lt;&gt;(없음)")</f>
        <v>0</v>
      </c>
      <c r="K27" s="17" t="n">
        <f aca="false">COUNTIFS(추적표!$A$2:$A$71,A27,추적표!$E$2:$E$71,"Pass")</f>
        <v>0</v>
      </c>
      <c r="L27" s="17" t="n">
        <f aca="false">COUNTIFS(추적표!$A$2:$A$71,A27,추적표!$E$2:$E$71,"Fail")</f>
        <v>0</v>
      </c>
      <c r="M27" s="17" t="n">
        <f aca="false">COUNTIFS(추적표!$A$2:$A$71,A27,추적표!$E$2:$E$71,"미수행")</f>
        <v>1</v>
      </c>
      <c r="N27" s="16" t="s">
        <v>64</v>
      </c>
      <c r="O27" s="17" t="s">
        <v>9</v>
      </c>
      <c r="P27" s="18" t="s">
        <v>210</v>
      </c>
    </row>
    <row r="28" customFormat="false" ht="29.85" hidden="false" customHeight="false" outlineLevel="0" collapsed="false">
      <c r="A28" s="16" t="s">
        <v>211</v>
      </c>
      <c r="B28" s="17" t="s">
        <v>13</v>
      </c>
      <c r="C28" s="17" t="s">
        <v>137</v>
      </c>
      <c r="D28" s="18" t="s">
        <v>212</v>
      </c>
      <c r="E28" s="18" t="s">
        <v>213</v>
      </c>
      <c r="F28" s="17" t="s">
        <v>19</v>
      </c>
      <c r="G28" s="19" t="s">
        <v>214</v>
      </c>
      <c r="H28" s="16" t="s">
        <v>76</v>
      </c>
      <c r="I28" s="19" t="s">
        <v>215</v>
      </c>
      <c r="J28" s="20" t="n">
        <f aca="false">COUNTIFS(추적표!$A$2:$A$71,A28,추적표!$C$2:$C$71,"&lt;&gt;(없음)")</f>
        <v>1</v>
      </c>
      <c r="K28" s="17" t="n">
        <f aca="false">COUNTIFS(추적표!$A$2:$A$71,A28,추적표!$E$2:$E$71,"Pass")</f>
        <v>1</v>
      </c>
      <c r="L28" s="17" t="n">
        <f aca="false">COUNTIFS(추적표!$A$2:$A$71,A28,추적표!$E$2:$E$71,"Fail")</f>
        <v>0</v>
      </c>
      <c r="M28" s="17" t="n">
        <f aca="false">COUNTIFS(추적표!$A$2:$A$71,A28,추적표!$E$2:$E$71,"미수행")</f>
        <v>0</v>
      </c>
      <c r="N28" s="16" t="s">
        <v>216</v>
      </c>
      <c r="O28" s="17" t="s">
        <v>143</v>
      </c>
      <c r="P28" s="18" t="s">
        <v>217</v>
      </c>
    </row>
    <row r="29" customFormat="false" ht="29.85" hidden="false" customHeight="false" outlineLevel="0" collapsed="false">
      <c r="A29" s="16" t="s">
        <v>218</v>
      </c>
      <c r="B29" s="17" t="s">
        <v>13</v>
      </c>
      <c r="C29" s="17" t="s">
        <v>219</v>
      </c>
      <c r="D29" s="18" t="s">
        <v>220</v>
      </c>
      <c r="E29" s="18" t="s">
        <v>221</v>
      </c>
      <c r="F29" s="21" t="s">
        <v>21</v>
      </c>
      <c r="G29" s="19" t="s">
        <v>222</v>
      </c>
      <c r="H29" s="16" t="s">
        <v>62</v>
      </c>
      <c r="I29" s="19" t="s">
        <v>223</v>
      </c>
      <c r="J29" s="20" t="n">
        <f aca="false">COUNTIFS(추적표!$A$2:$A$71,A29,추적표!$C$2:$C$71,"&lt;&gt;(없음)")</f>
        <v>2</v>
      </c>
      <c r="K29" s="17" t="n">
        <f aca="false">COUNTIFS(추적표!$A$2:$A$71,A29,추적표!$E$2:$E$71,"Pass")</f>
        <v>2</v>
      </c>
      <c r="L29" s="17" t="n">
        <f aca="false">COUNTIFS(추적표!$A$2:$A$71,A29,추적표!$E$2:$E$71,"Fail")</f>
        <v>0</v>
      </c>
      <c r="M29" s="17" t="n">
        <f aca="false">COUNTIFS(추적표!$A$2:$A$71,A29,추적표!$E$2:$E$71,"미수행")</f>
        <v>0</v>
      </c>
      <c r="N29" s="16" t="s">
        <v>216</v>
      </c>
      <c r="O29" s="17" t="s">
        <v>143</v>
      </c>
      <c r="P29" s="18" t="s">
        <v>224</v>
      </c>
    </row>
    <row r="30" customFormat="false" ht="29.85" hidden="false" customHeight="false" outlineLevel="0" collapsed="false">
      <c r="A30" s="16" t="s">
        <v>225</v>
      </c>
      <c r="B30" s="17" t="s">
        <v>13</v>
      </c>
      <c r="C30" s="17" t="s">
        <v>161</v>
      </c>
      <c r="D30" s="18" t="s">
        <v>226</v>
      </c>
      <c r="E30" s="19" t="s">
        <v>227</v>
      </c>
      <c r="F30" s="17" t="s">
        <v>19</v>
      </c>
      <c r="G30" s="19" t="s">
        <v>228</v>
      </c>
      <c r="H30" s="16" t="s">
        <v>62</v>
      </c>
      <c r="I30" s="19" t="s">
        <v>229</v>
      </c>
      <c r="J30" s="20" t="n">
        <f aca="false">COUNTIFS(추적표!$A$2:$A$71,A30,추적표!$C$2:$C$71,"&lt;&gt;(없음)")</f>
        <v>2</v>
      </c>
      <c r="K30" s="17" t="n">
        <f aca="false">COUNTIFS(추적표!$A$2:$A$71,A30,추적표!$E$2:$E$71,"Pass")</f>
        <v>2</v>
      </c>
      <c r="L30" s="17" t="n">
        <f aca="false">COUNTIFS(추적표!$A$2:$A$71,A30,추적표!$E$2:$E$71,"Fail")</f>
        <v>0</v>
      </c>
      <c r="M30" s="17" t="n">
        <f aca="false">COUNTIFS(추적표!$A$2:$A$71,A30,추적표!$E$2:$E$71,"미수행")</f>
        <v>0</v>
      </c>
      <c r="N30" s="16" t="s">
        <v>64</v>
      </c>
      <c r="O30" s="17" t="s">
        <v>6</v>
      </c>
      <c r="P30" s="18"/>
    </row>
    <row r="31" customFormat="false" ht="29.85" hidden="false" customHeight="false" outlineLevel="0" collapsed="false">
      <c r="A31" s="16" t="s">
        <v>230</v>
      </c>
      <c r="B31" s="17" t="s">
        <v>14</v>
      </c>
      <c r="C31" s="17" t="s">
        <v>161</v>
      </c>
      <c r="D31" s="18" t="s">
        <v>231</v>
      </c>
      <c r="E31" s="19" t="s">
        <v>232</v>
      </c>
      <c r="F31" s="17" t="s">
        <v>18</v>
      </c>
      <c r="G31" s="18" t="s">
        <v>233</v>
      </c>
      <c r="H31" s="16" t="s">
        <v>62</v>
      </c>
      <c r="I31" s="19" t="s">
        <v>234</v>
      </c>
      <c r="J31" s="20" t="n">
        <f aca="false">COUNTIFS(추적표!$A$2:$A$71,A31,추적표!$C$2:$C$71,"&lt;&gt;(없음)")</f>
        <v>9</v>
      </c>
      <c r="K31" s="17" t="n">
        <f aca="false">COUNTIFS(추적표!$A$2:$A$71,A31,추적표!$E$2:$E$71,"Pass")</f>
        <v>7</v>
      </c>
      <c r="L31" s="17" t="n">
        <f aca="false">COUNTIFS(추적표!$A$2:$A$71,A31,추적표!$E$2:$E$71,"Fail")</f>
        <v>2</v>
      </c>
      <c r="M31" s="17" t="n">
        <f aca="false">COUNTIFS(추적표!$A$2:$A$71,A31,추적표!$E$2:$E$71,"미수행")</f>
        <v>0</v>
      </c>
      <c r="N31" s="16" t="s">
        <v>235</v>
      </c>
      <c r="O31" s="17" t="s">
        <v>143</v>
      </c>
      <c r="P31" s="18" t="s">
        <v>236</v>
      </c>
    </row>
    <row r="32" customFormat="false" ht="29.85" hidden="false" customHeight="false" outlineLevel="0" collapsed="false">
      <c r="A32" s="16" t="s">
        <v>237</v>
      </c>
      <c r="B32" s="17" t="s">
        <v>14</v>
      </c>
      <c r="C32" s="17" t="s">
        <v>137</v>
      </c>
      <c r="D32" s="18" t="s">
        <v>238</v>
      </c>
      <c r="E32" s="19" t="s">
        <v>239</v>
      </c>
      <c r="F32" s="17" t="s">
        <v>18</v>
      </c>
      <c r="G32" s="18" t="s">
        <v>240</v>
      </c>
      <c r="H32" s="16" t="s">
        <v>62</v>
      </c>
      <c r="I32" s="19" t="s">
        <v>241</v>
      </c>
      <c r="J32" s="20" t="n">
        <f aca="false">COUNTIFS(추적표!$A$2:$A$71,A32,추적표!$C$2:$C$71,"&lt;&gt;(없음)")</f>
        <v>2</v>
      </c>
      <c r="K32" s="17" t="n">
        <f aca="false">COUNTIFS(추적표!$A$2:$A$71,A32,추적표!$E$2:$E$71,"Pass")</f>
        <v>2</v>
      </c>
      <c r="L32" s="17" t="n">
        <f aca="false">COUNTIFS(추적표!$A$2:$A$71,A32,추적표!$E$2:$E$71,"Fail")</f>
        <v>0</v>
      </c>
      <c r="M32" s="17" t="n">
        <f aca="false">COUNTIFS(추적표!$A$2:$A$71,A32,추적표!$E$2:$E$71,"미수행")</f>
        <v>0</v>
      </c>
      <c r="N32" s="16" t="s">
        <v>64</v>
      </c>
      <c r="O32" s="17" t="s">
        <v>6</v>
      </c>
      <c r="P32" s="18"/>
    </row>
    <row r="33" customFormat="false" ht="29.85" hidden="false" customHeight="false" outlineLevel="0" collapsed="false">
      <c r="A33" s="16" t="s">
        <v>242</v>
      </c>
      <c r="B33" s="17" t="s">
        <v>14</v>
      </c>
      <c r="C33" s="17" t="s">
        <v>110</v>
      </c>
      <c r="D33" s="18" t="s">
        <v>243</v>
      </c>
      <c r="E33" s="18" t="s">
        <v>244</v>
      </c>
      <c r="F33" s="17" t="s">
        <v>18</v>
      </c>
      <c r="G33" s="18" t="s">
        <v>245</v>
      </c>
      <c r="H33" s="16" t="s">
        <v>76</v>
      </c>
      <c r="I33" s="19" t="s">
        <v>246</v>
      </c>
      <c r="J33" s="20" t="n">
        <f aca="false">COUNTIFS(추적표!$A$2:$A$71,A33,추적표!$C$2:$C$71,"&lt;&gt;(없음)")</f>
        <v>6</v>
      </c>
      <c r="K33" s="17" t="n">
        <f aca="false">COUNTIFS(추적표!$A$2:$A$71,A33,추적표!$E$2:$E$71,"Pass")</f>
        <v>1</v>
      </c>
      <c r="L33" s="17" t="n">
        <f aca="false">COUNTIFS(추적표!$A$2:$A$71,A33,추적표!$E$2:$E$71,"Fail")</f>
        <v>5</v>
      </c>
      <c r="M33" s="17" t="n">
        <f aca="false">COUNTIFS(추적표!$A$2:$A$71,A33,추적표!$E$2:$E$71,"미수행")</f>
        <v>0</v>
      </c>
      <c r="N33" s="16" t="s">
        <v>64</v>
      </c>
      <c r="O33" s="17" t="s">
        <v>10</v>
      </c>
      <c r="P33" s="19" t="s">
        <v>247</v>
      </c>
    </row>
    <row r="34" customFormat="false" ht="29.85" hidden="false" customHeight="false" outlineLevel="0" collapsed="false">
      <c r="A34" s="16" t="s">
        <v>248</v>
      </c>
      <c r="B34" s="17" t="s">
        <v>14</v>
      </c>
      <c r="C34" s="17" t="s">
        <v>137</v>
      </c>
      <c r="D34" s="18" t="s">
        <v>249</v>
      </c>
      <c r="E34" s="18" t="s">
        <v>250</v>
      </c>
      <c r="F34" s="21" t="s">
        <v>21</v>
      </c>
      <c r="G34" s="19" t="s">
        <v>251</v>
      </c>
      <c r="H34" s="16" t="s">
        <v>76</v>
      </c>
      <c r="I34" s="19" t="s">
        <v>252</v>
      </c>
      <c r="J34" s="20" t="n">
        <f aca="false">COUNTIFS(추적표!$A$2:$A$71,A34,추적표!$C$2:$C$71,"&lt;&gt;(없음)")</f>
        <v>1</v>
      </c>
      <c r="K34" s="17" t="n">
        <f aca="false">COUNTIFS(추적표!$A$2:$A$71,A34,추적표!$E$2:$E$71,"Pass")</f>
        <v>0</v>
      </c>
      <c r="L34" s="17" t="n">
        <f aca="false">COUNTIFS(추적표!$A$2:$A$71,A34,추적표!$E$2:$E$71,"Fail")</f>
        <v>1</v>
      </c>
      <c r="M34" s="17" t="n">
        <f aca="false">COUNTIFS(추적표!$A$2:$A$71,A34,추적표!$E$2:$E$71,"미수행")</f>
        <v>0</v>
      </c>
      <c r="N34" s="16" t="s">
        <v>253</v>
      </c>
      <c r="O34" s="17" t="s">
        <v>8</v>
      </c>
      <c r="P34" s="18" t="s">
        <v>254</v>
      </c>
    </row>
  </sheetData>
  <autoFilter ref="A1:P34"/>
  <conditionalFormatting sqref="O2:O84">
    <cfRule type="cellIs" priority="2" operator="equal" aboveAverage="0" equalAverage="0" bottom="0" percent="0" rank="0" text="" dxfId="9">
      <formula>"충족"</formula>
    </cfRule>
    <cfRule type="cellIs" priority="3" operator="equal" aboveAverage="0" equalAverage="0" bottom="0" percent="0" rank="0" text="" dxfId="10">
      <formula>"충족 (수정 후)"</formula>
    </cfRule>
    <cfRule type="cellIs" priority="4" operator="equal" aboveAverage="0" equalAverage="0" bottom="0" percent="0" rank="0" text="" dxfId="11">
      <formula>"미충족"</formula>
    </cfRule>
    <cfRule type="cellIs" priority="5" operator="equal" aboveAverage="0" equalAverage="0" bottom="0" percent="0" rank="0" text="" dxfId="12">
      <formula>"미검증"</formula>
    </cfRule>
    <cfRule type="cellIs" priority="6" operator="equal" aboveAverage="0" equalAverage="0" bottom="0" percent="0" rank="0" text="" dxfId="13">
      <formula>"기준 미정"</formula>
    </cfRule>
  </conditionalFormatting>
  <conditionalFormatting sqref="J2:J34">
    <cfRule type="cellIs" priority="7" operator="equal" aboveAverage="0" equalAverage="0" bottom="0" percent="0" rank="0" text="" dxfId="11">
      <formula>0</formula>
    </cfRule>
  </conditionalFormatting>
  <dataValidations count="2">
    <dataValidation allowBlank="true" errorStyle="stop" operator="between" showDropDown="false" showErrorMessage="false" showInputMessage="false" sqref="O2:O84" type="list">
      <formula1>"충족,충족 (수정 후),미충족,미검증,기준 미정"</formula1>
      <formula2>0</formula2>
    </dataValidation>
    <dataValidation allowBlank="true" errorStyle="stop" operator="between" showDropDown="false" showErrorMessage="false" showInputMessage="false" sqref="H2:H84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4" t="s">
        <v>43</v>
      </c>
      <c r="B1" s="15" t="s">
        <v>46</v>
      </c>
      <c r="C1" s="14" t="s">
        <v>255</v>
      </c>
      <c r="D1" s="15" t="s">
        <v>256</v>
      </c>
      <c r="E1" s="15" t="s">
        <v>257</v>
      </c>
      <c r="F1" s="15" t="s">
        <v>55</v>
      </c>
    </row>
    <row r="2" customFormat="false" ht="29.85" hidden="false" customHeight="false" outlineLevel="0" collapsed="false">
      <c r="A2" s="16" t="s">
        <v>57</v>
      </c>
      <c r="B2" s="18" t="s">
        <v>59</v>
      </c>
      <c r="C2" s="16" t="s">
        <v>258</v>
      </c>
      <c r="D2" s="18" t="s">
        <v>259</v>
      </c>
      <c r="E2" s="16" t="s">
        <v>52</v>
      </c>
      <c r="F2" s="16" t="s">
        <v>64</v>
      </c>
    </row>
    <row r="3" customFormat="false" ht="29.85" hidden="false" customHeight="false" outlineLevel="0" collapsed="false">
      <c r="A3" s="16" t="s">
        <v>57</v>
      </c>
      <c r="B3" s="18" t="s">
        <v>59</v>
      </c>
      <c r="C3" s="16" t="s">
        <v>260</v>
      </c>
      <c r="D3" s="18" t="s">
        <v>261</v>
      </c>
      <c r="E3" s="16" t="s">
        <v>52</v>
      </c>
      <c r="F3" s="16" t="s">
        <v>64</v>
      </c>
    </row>
    <row r="4" customFormat="false" ht="15" hidden="false" customHeight="false" outlineLevel="0" collapsed="false">
      <c r="A4" s="16" t="s">
        <v>65</v>
      </c>
      <c r="B4" s="18" t="s">
        <v>66</v>
      </c>
      <c r="C4" s="16" t="s">
        <v>262</v>
      </c>
      <c r="D4" s="18" t="s">
        <v>263</v>
      </c>
      <c r="E4" s="16" t="s">
        <v>52</v>
      </c>
      <c r="F4" s="16" t="s">
        <v>264</v>
      </c>
    </row>
    <row r="5" customFormat="false" ht="15" hidden="false" customHeight="false" outlineLevel="0" collapsed="false">
      <c r="A5" s="16" t="s">
        <v>65</v>
      </c>
      <c r="B5" s="18" t="s">
        <v>66</v>
      </c>
      <c r="C5" s="16" t="s">
        <v>265</v>
      </c>
      <c r="D5" s="18" t="s">
        <v>266</v>
      </c>
      <c r="E5" s="16" t="s">
        <v>52</v>
      </c>
      <c r="F5" s="16" t="s">
        <v>264</v>
      </c>
    </row>
    <row r="6" customFormat="false" ht="15" hidden="false" customHeight="false" outlineLevel="0" collapsed="false">
      <c r="A6" s="16" t="s">
        <v>72</v>
      </c>
      <c r="B6" s="18" t="s">
        <v>73</v>
      </c>
      <c r="C6" s="16" t="s">
        <v>267</v>
      </c>
      <c r="D6" s="18" t="s">
        <v>268</v>
      </c>
      <c r="E6" s="16" t="s">
        <v>52</v>
      </c>
      <c r="F6" s="16" t="s">
        <v>64</v>
      </c>
    </row>
    <row r="7" customFormat="false" ht="15" hidden="false" customHeight="false" outlineLevel="0" collapsed="false">
      <c r="A7" s="16" t="s">
        <v>72</v>
      </c>
      <c r="B7" s="18" t="s">
        <v>73</v>
      </c>
      <c r="C7" s="16" t="s">
        <v>269</v>
      </c>
      <c r="D7" s="18" t="s">
        <v>270</v>
      </c>
      <c r="E7" s="16" t="s">
        <v>52</v>
      </c>
      <c r="F7" s="16" t="s">
        <v>64</v>
      </c>
    </row>
    <row r="8" customFormat="false" ht="15" hidden="false" customHeight="false" outlineLevel="0" collapsed="false">
      <c r="A8" s="16" t="s">
        <v>72</v>
      </c>
      <c r="B8" s="18" t="s">
        <v>73</v>
      </c>
      <c r="C8" s="16" t="s">
        <v>271</v>
      </c>
      <c r="D8" s="18" t="s">
        <v>272</v>
      </c>
      <c r="E8" s="16" t="s">
        <v>52</v>
      </c>
      <c r="F8" s="16" t="s">
        <v>64</v>
      </c>
    </row>
    <row r="9" customFormat="false" ht="15" hidden="false" customHeight="false" outlineLevel="0" collapsed="false">
      <c r="A9" s="16" t="s">
        <v>72</v>
      </c>
      <c r="B9" s="18" t="s">
        <v>73</v>
      </c>
      <c r="C9" s="16" t="s">
        <v>273</v>
      </c>
      <c r="D9" s="18" t="s">
        <v>274</v>
      </c>
      <c r="E9" s="16" t="s">
        <v>52</v>
      </c>
      <c r="F9" s="16" t="s">
        <v>64</v>
      </c>
    </row>
    <row r="10" customFormat="false" ht="15" hidden="false" customHeight="false" outlineLevel="0" collapsed="false">
      <c r="A10" s="16" t="s">
        <v>79</v>
      </c>
      <c r="B10" s="18" t="s">
        <v>80</v>
      </c>
      <c r="C10" s="16" t="s">
        <v>275</v>
      </c>
      <c r="D10" s="18" t="s">
        <v>276</v>
      </c>
      <c r="E10" s="16" t="s">
        <v>52</v>
      </c>
      <c r="F10" s="16" t="s">
        <v>64</v>
      </c>
    </row>
    <row r="11" customFormat="false" ht="15" hidden="false" customHeight="false" outlineLevel="0" collapsed="false">
      <c r="A11" s="16" t="s">
        <v>79</v>
      </c>
      <c r="B11" s="18" t="s">
        <v>80</v>
      </c>
      <c r="C11" s="16" t="s">
        <v>277</v>
      </c>
      <c r="D11" s="18" t="s">
        <v>278</v>
      </c>
      <c r="E11" s="16" t="s">
        <v>52</v>
      </c>
      <c r="F11" s="16" t="s">
        <v>64</v>
      </c>
    </row>
    <row r="12" customFormat="false" ht="15" hidden="false" customHeight="false" outlineLevel="0" collapsed="false">
      <c r="A12" s="16" t="s">
        <v>79</v>
      </c>
      <c r="B12" s="18" t="s">
        <v>80</v>
      </c>
      <c r="C12" s="16" t="s">
        <v>279</v>
      </c>
      <c r="D12" s="18" t="s">
        <v>280</v>
      </c>
      <c r="E12" s="16" t="s">
        <v>52</v>
      </c>
      <c r="F12" s="16" t="s">
        <v>64</v>
      </c>
    </row>
    <row r="13" customFormat="false" ht="15" hidden="false" customHeight="false" outlineLevel="0" collapsed="false">
      <c r="A13" s="16" t="s">
        <v>84</v>
      </c>
      <c r="B13" s="18" t="s">
        <v>85</v>
      </c>
      <c r="C13" s="16" t="s">
        <v>88</v>
      </c>
      <c r="D13" s="19" t="s">
        <v>281</v>
      </c>
      <c r="E13" s="16" t="s">
        <v>53</v>
      </c>
      <c r="F13" s="16" t="s">
        <v>89</v>
      </c>
    </row>
    <row r="14" customFormat="false" ht="15" hidden="false" customHeight="false" outlineLevel="0" collapsed="false">
      <c r="A14" s="16" t="s">
        <v>91</v>
      </c>
      <c r="B14" s="18" t="s">
        <v>92</v>
      </c>
      <c r="C14" s="16" t="s">
        <v>282</v>
      </c>
      <c r="D14" s="18" t="s">
        <v>283</v>
      </c>
      <c r="E14" s="16" t="s">
        <v>52</v>
      </c>
      <c r="F14" s="16" t="s">
        <v>64</v>
      </c>
    </row>
    <row r="15" customFormat="false" ht="15" hidden="false" customHeight="false" outlineLevel="0" collapsed="false">
      <c r="A15" s="16" t="s">
        <v>91</v>
      </c>
      <c r="B15" s="18" t="s">
        <v>92</v>
      </c>
      <c r="C15" s="16" t="s">
        <v>284</v>
      </c>
      <c r="D15" s="18" t="s">
        <v>285</v>
      </c>
      <c r="E15" s="16" t="s">
        <v>52</v>
      </c>
      <c r="F15" s="16" t="s">
        <v>64</v>
      </c>
    </row>
    <row r="16" customFormat="false" ht="15" hidden="false" customHeight="false" outlineLevel="0" collapsed="false">
      <c r="A16" s="16" t="s">
        <v>95</v>
      </c>
      <c r="B16" s="18" t="s">
        <v>97</v>
      </c>
      <c r="C16" s="16" t="s">
        <v>286</v>
      </c>
      <c r="D16" s="18" t="s">
        <v>287</v>
      </c>
      <c r="E16" s="16" t="s">
        <v>52</v>
      </c>
      <c r="F16" s="16" t="s">
        <v>64</v>
      </c>
    </row>
    <row r="17" customFormat="false" ht="15" hidden="false" customHeight="false" outlineLevel="0" collapsed="false">
      <c r="A17" s="16" t="s">
        <v>95</v>
      </c>
      <c r="B17" s="18" t="s">
        <v>97</v>
      </c>
      <c r="C17" s="16" t="s">
        <v>284</v>
      </c>
      <c r="D17" s="18" t="s">
        <v>285</v>
      </c>
      <c r="E17" s="16" t="s">
        <v>52</v>
      </c>
      <c r="F17" s="16" t="s">
        <v>64</v>
      </c>
    </row>
    <row r="18" customFormat="false" ht="15" hidden="false" customHeight="false" outlineLevel="0" collapsed="false">
      <c r="A18" s="16" t="s">
        <v>102</v>
      </c>
      <c r="B18" s="18" t="s">
        <v>103</v>
      </c>
      <c r="C18" s="16" t="s">
        <v>106</v>
      </c>
      <c r="D18" s="19" t="s">
        <v>288</v>
      </c>
      <c r="E18" s="16" t="s">
        <v>53</v>
      </c>
      <c r="F18" s="16" t="s">
        <v>107</v>
      </c>
    </row>
    <row r="19" customFormat="false" ht="29.85" hidden="false" customHeight="false" outlineLevel="0" collapsed="false">
      <c r="A19" s="16" t="s">
        <v>109</v>
      </c>
      <c r="B19" s="18" t="s">
        <v>111</v>
      </c>
      <c r="C19" s="16" t="s">
        <v>289</v>
      </c>
      <c r="D19" s="18" t="s">
        <v>290</v>
      </c>
      <c r="E19" s="16" t="s">
        <v>52</v>
      </c>
      <c r="F19" s="16" t="s">
        <v>64</v>
      </c>
    </row>
    <row r="20" customFormat="false" ht="29.85" hidden="false" customHeight="false" outlineLevel="0" collapsed="false">
      <c r="A20" s="16" t="s">
        <v>109</v>
      </c>
      <c r="B20" s="18" t="s">
        <v>111</v>
      </c>
      <c r="C20" s="16" t="s">
        <v>291</v>
      </c>
      <c r="D20" s="18" t="s">
        <v>290</v>
      </c>
      <c r="E20" s="16" t="s">
        <v>52</v>
      </c>
      <c r="F20" s="16" t="s">
        <v>64</v>
      </c>
    </row>
    <row r="21" customFormat="false" ht="15" hidden="false" customHeight="false" outlineLevel="0" collapsed="false">
      <c r="A21" s="16" t="s">
        <v>115</v>
      </c>
      <c r="B21" s="18" t="s">
        <v>116</v>
      </c>
      <c r="C21" s="16" t="s">
        <v>292</v>
      </c>
      <c r="D21" s="18" t="s">
        <v>293</v>
      </c>
      <c r="E21" s="16" t="s">
        <v>52</v>
      </c>
      <c r="F21" s="16" t="s">
        <v>64</v>
      </c>
    </row>
    <row r="22" customFormat="false" ht="15" hidden="false" customHeight="false" outlineLevel="0" collapsed="false">
      <c r="A22" s="16" t="s">
        <v>115</v>
      </c>
      <c r="B22" s="18" t="s">
        <v>116</v>
      </c>
      <c r="C22" s="16" t="s">
        <v>294</v>
      </c>
      <c r="D22" s="18" t="s">
        <v>295</v>
      </c>
      <c r="E22" s="16" t="s">
        <v>52</v>
      </c>
      <c r="F22" s="16" t="s">
        <v>64</v>
      </c>
    </row>
    <row r="23" customFormat="false" ht="15" hidden="false" customHeight="false" outlineLevel="0" collapsed="false">
      <c r="A23" s="16" t="s">
        <v>115</v>
      </c>
      <c r="B23" s="18" t="s">
        <v>116</v>
      </c>
      <c r="C23" s="16" t="s">
        <v>296</v>
      </c>
      <c r="D23" s="18" t="s">
        <v>297</v>
      </c>
      <c r="E23" s="16" t="s">
        <v>52</v>
      </c>
      <c r="F23" s="16" t="s">
        <v>64</v>
      </c>
    </row>
    <row r="24" customFormat="false" ht="15" hidden="false" customHeight="false" outlineLevel="0" collapsed="false">
      <c r="A24" s="16" t="s">
        <v>115</v>
      </c>
      <c r="B24" s="18" t="s">
        <v>116</v>
      </c>
      <c r="C24" s="16" t="s">
        <v>298</v>
      </c>
      <c r="D24" s="18" t="s">
        <v>299</v>
      </c>
      <c r="E24" s="16" t="s">
        <v>52</v>
      </c>
      <c r="F24" s="16" t="s">
        <v>64</v>
      </c>
    </row>
    <row r="25" customFormat="false" ht="15" hidden="false" customHeight="false" outlineLevel="0" collapsed="false">
      <c r="A25" s="16" t="s">
        <v>115</v>
      </c>
      <c r="B25" s="18" t="s">
        <v>116</v>
      </c>
      <c r="C25" s="16" t="s">
        <v>300</v>
      </c>
      <c r="D25" s="18" t="s">
        <v>295</v>
      </c>
      <c r="E25" s="16" t="s">
        <v>52</v>
      </c>
      <c r="F25" s="16" t="s">
        <v>64</v>
      </c>
    </row>
    <row r="26" customFormat="false" ht="15" hidden="false" customHeight="false" outlineLevel="0" collapsed="false">
      <c r="A26" s="16" t="s">
        <v>115</v>
      </c>
      <c r="B26" s="18" t="s">
        <v>116</v>
      </c>
      <c r="C26" s="16" t="s">
        <v>301</v>
      </c>
      <c r="D26" s="18" t="s">
        <v>293</v>
      </c>
      <c r="E26" s="16" t="s">
        <v>52</v>
      </c>
      <c r="F26" s="16" t="s">
        <v>64</v>
      </c>
    </row>
    <row r="27" customFormat="false" ht="15" hidden="false" customHeight="false" outlineLevel="0" collapsed="false">
      <c r="A27" s="16" t="s">
        <v>120</v>
      </c>
      <c r="B27" s="18" t="s">
        <v>121</v>
      </c>
      <c r="C27" s="16" t="s">
        <v>125</v>
      </c>
      <c r="D27" s="18" t="s">
        <v>302</v>
      </c>
      <c r="E27" s="16" t="s">
        <v>52</v>
      </c>
      <c r="F27" s="16" t="s">
        <v>64</v>
      </c>
    </row>
    <row r="28" customFormat="false" ht="15" hidden="false" customHeight="false" outlineLevel="0" collapsed="false">
      <c r="A28" s="16" t="s">
        <v>126</v>
      </c>
      <c r="B28" s="18" t="s">
        <v>127</v>
      </c>
      <c r="C28" s="16" t="s">
        <v>130</v>
      </c>
      <c r="D28" s="18" t="s">
        <v>303</v>
      </c>
      <c r="E28" s="16" t="s">
        <v>52</v>
      </c>
      <c r="F28" s="16" t="s">
        <v>64</v>
      </c>
    </row>
    <row r="29" customFormat="false" ht="15" hidden="false" customHeight="false" outlineLevel="0" collapsed="false">
      <c r="A29" s="16" t="s">
        <v>131</v>
      </c>
      <c r="B29" s="18" t="s">
        <v>132</v>
      </c>
      <c r="C29" s="16" t="s">
        <v>304</v>
      </c>
      <c r="D29" s="18" t="s">
        <v>305</v>
      </c>
      <c r="E29" s="16" t="s">
        <v>52</v>
      </c>
      <c r="F29" s="16" t="s">
        <v>64</v>
      </c>
    </row>
    <row r="30" customFormat="false" ht="15" hidden="false" customHeight="false" outlineLevel="0" collapsed="false">
      <c r="A30" s="16" t="s">
        <v>131</v>
      </c>
      <c r="B30" s="18" t="s">
        <v>132</v>
      </c>
      <c r="C30" s="16" t="s">
        <v>306</v>
      </c>
      <c r="D30" s="18" t="s">
        <v>307</v>
      </c>
      <c r="E30" s="16" t="s">
        <v>52</v>
      </c>
      <c r="F30" s="16" t="s">
        <v>64</v>
      </c>
    </row>
    <row r="31" customFormat="false" ht="29.85" hidden="false" customHeight="false" outlineLevel="0" collapsed="false">
      <c r="A31" s="16" t="s">
        <v>136</v>
      </c>
      <c r="B31" s="18" t="s">
        <v>138</v>
      </c>
      <c r="C31" s="16" t="s">
        <v>308</v>
      </c>
      <c r="D31" s="18" t="s">
        <v>309</v>
      </c>
      <c r="E31" s="16" t="s">
        <v>52</v>
      </c>
      <c r="F31" s="16" t="s">
        <v>142</v>
      </c>
    </row>
    <row r="32" customFormat="false" ht="29.85" hidden="false" customHeight="false" outlineLevel="0" collapsed="false">
      <c r="A32" s="16" t="s">
        <v>136</v>
      </c>
      <c r="B32" s="18" t="s">
        <v>138</v>
      </c>
      <c r="C32" s="16" t="s">
        <v>310</v>
      </c>
      <c r="D32" s="18" t="s">
        <v>311</v>
      </c>
      <c r="E32" s="16" t="s">
        <v>52</v>
      </c>
      <c r="F32" s="16" t="s">
        <v>64</v>
      </c>
    </row>
    <row r="33" customFormat="false" ht="29.85" hidden="false" customHeight="false" outlineLevel="0" collapsed="false">
      <c r="A33" s="16" t="s">
        <v>145</v>
      </c>
      <c r="B33" s="18" t="s">
        <v>146</v>
      </c>
      <c r="C33" s="16" t="s">
        <v>149</v>
      </c>
      <c r="D33" s="18" t="s">
        <v>312</v>
      </c>
      <c r="E33" s="16" t="s">
        <v>52</v>
      </c>
      <c r="F33" s="16" t="s">
        <v>64</v>
      </c>
    </row>
    <row r="34" customFormat="false" ht="15" hidden="false" customHeight="false" outlineLevel="0" collapsed="false">
      <c r="A34" s="16" t="s">
        <v>150</v>
      </c>
      <c r="B34" s="18" t="s">
        <v>151</v>
      </c>
      <c r="C34" s="16" t="s">
        <v>154</v>
      </c>
      <c r="D34" s="18" t="s">
        <v>313</v>
      </c>
      <c r="E34" s="16" t="s">
        <v>52</v>
      </c>
      <c r="F34" s="16" t="s">
        <v>64</v>
      </c>
    </row>
    <row r="35" customFormat="false" ht="15" hidden="false" customHeight="false" outlineLevel="0" collapsed="false">
      <c r="A35" s="16" t="s">
        <v>155</v>
      </c>
      <c r="B35" s="18" t="s">
        <v>156</v>
      </c>
      <c r="C35" s="16" t="s">
        <v>159</v>
      </c>
      <c r="D35" s="18" t="s">
        <v>314</v>
      </c>
      <c r="E35" s="16" t="s">
        <v>52</v>
      </c>
      <c r="F35" s="16" t="s">
        <v>64</v>
      </c>
    </row>
    <row r="36" customFormat="false" ht="29.85" hidden="false" customHeight="false" outlineLevel="0" collapsed="false">
      <c r="A36" s="16" t="s">
        <v>160</v>
      </c>
      <c r="B36" s="19" t="s">
        <v>162</v>
      </c>
      <c r="C36" s="16" t="s">
        <v>315</v>
      </c>
      <c r="D36" s="19" t="s">
        <v>316</v>
      </c>
      <c r="E36" s="16" t="s">
        <v>52</v>
      </c>
      <c r="F36" s="16" t="s">
        <v>64</v>
      </c>
    </row>
    <row r="37" customFormat="false" ht="29.85" hidden="false" customHeight="false" outlineLevel="0" collapsed="false">
      <c r="A37" s="16" t="s">
        <v>160</v>
      </c>
      <c r="B37" s="19" t="s">
        <v>162</v>
      </c>
      <c r="C37" s="16" t="s">
        <v>317</v>
      </c>
      <c r="D37" s="19" t="s">
        <v>318</v>
      </c>
      <c r="E37" s="16" t="s">
        <v>52</v>
      </c>
      <c r="F37" s="16" t="s">
        <v>64</v>
      </c>
    </row>
    <row r="38" customFormat="false" ht="29.85" hidden="false" customHeight="false" outlineLevel="0" collapsed="false">
      <c r="A38" s="16" t="s">
        <v>160</v>
      </c>
      <c r="B38" s="19" t="s">
        <v>162</v>
      </c>
      <c r="C38" s="16" t="s">
        <v>319</v>
      </c>
      <c r="D38" s="18" t="s">
        <v>320</v>
      </c>
      <c r="E38" s="16" t="s">
        <v>52</v>
      </c>
      <c r="F38" s="16" t="s">
        <v>216</v>
      </c>
    </row>
    <row r="39" customFormat="false" ht="15" hidden="false" customHeight="false" outlineLevel="0" collapsed="false">
      <c r="A39" s="16" t="s">
        <v>166</v>
      </c>
      <c r="B39" s="18" t="s">
        <v>167</v>
      </c>
      <c r="C39" s="16" t="s">
        <v>170</v>
      </c>
      <c r="D39" s="18" t="s">
        <v>321</v>
      </c>
      <c r="E39" s="16" t="s">
        <v>52</v>
      </c>
      <c r="F39" s="16" t="s">
        <v>64</v>
      </c>
    </row>
    <row r="40" customFormat="false" ht="15" hidden="false" customHeight="false" outlineLevel="0" collapsed="false">
      <c r="A40" s="16" t="s">
        <v>172</v>
      </c>
      <c r="B40" s="18" t="s">
        <v>174</v>
      </c>
      <c r="C40" s="16" t="s">
        <v>177</v>
      </c>
      <c r="D40" s="18" t="s">
        <v>322</v>
      </c>
      <c r="E40" s="17" t="s">
        <v>54</v>
      </c>
      <c r="F40" s="16" t="s">
        <v>64</v>
      </c>
    </row>
    <row r="41" customFormat="false" ht="29.85" hidden="false" customHeight="false" outlineLevel="0" collapsed="false">
      <c r="A41" s="16" t="s">
        <v>179</v>
      </c>
      <c r="B41" s="18" t="s">
        <v>180</v>
      </c>
      <c r="C41" s="16" t="s">
        <v>182</v>
      </c>
      <c r="D41" s="18" t="s">
        <v>323</v>
      </c>
      <c r="E41" s="17" t="s">
        <v>54</v>
      </c>
      <c r="F41" s="16" t="s">
        <v>64</v>
      </c>
    </row>
    <row r="42" customFormat="false" ht="15" hidden="false" customHeight="false" outlineLevel="0" collapsed="false">
      <c r="A42" s="16" t="s">
        <v>183</v>
      </c>
      <c r="B42" s="18" t="s">
        <v>184</v>
      </c>
      <c r="C42" s="16" t="s">
        <v>324</v>
      </c>
      <c r="D42" s="18" t="s">
        <v>325</v>
      </c>
      <c r="E42" s="16" t="s">
        <v>52</v>
      </c>
      <c r="F42" s="16" t="s">
        <v>64</v>
      </c>
    </row>
    <row r="43" customFormat="false" ht="15" hidden="false" customHeight="false" outlineLevel="0" collapsed="false">
      <c r="A43" s="16" t="s">
        <v>183</v>
      </c>
      <c r="B43" s="18" t="s">
        <v>184</v>
      </c>
      <c r="C43" s="16" t="s">
        <v>258</v>
      </c>
      <c r="D43" s="18" t="s">
        <v>259</v>
      </c>
      <c r="E43" s="16" t="s">
        <v>52</v>
      </c>
      <c r="F43" s="16" t="s">
        <v>64</v>
      </c>
    </row>
    <row r="44" customFormat="false" ht="29.85" hidden="false" customHeight="false" outlineLevel="0" collapsed="false">
      <c r="A44" s="16" t="s">
        <v>188</v>
      </c>
      <c r="B44" s="18" t="s">
        <v>189</v>
      </c>
      <c r="C44" s="16" t="s">
        <v>326</v>
      </c>
      <c r="D44" s="18" t="s">
        <v>327</v>
      </c>
      <c r="E44" s="16" t="s">
        <v>52</v>
      </c>
      <c r="F44" s="16" t="s">
        <v>193</v>
      </c>
    </row>
    <row r="45" customFormat="false" ht="29.85" hidden="false" customHeight="false" outlineLevel="0" collapsed="false">
      <c r="A45" s="16" t="s">
        <v>188</v>
      </c>
      <c r="B45" s="18" t="s">
        <v>189</v>
      </c>
      <c r="C45" s="16" t="s">
        <v>328</v>
      </c>
      <c r="D45" s="18" t="s">
        <v>329</v>
      </c>
      <c r="E45" s="16" t="s">
        <v>52</v>
      </c>
      <c r="F45" s="16" t="s">
        <v>193</v>
      </c>
    </row>
    <row r="46" customFormat="false" ht="15" hidden="false" customHeight="false" outlineLevel="0" collapsed="false">
      <c r="A46" s="16" t="s">
        <v>195</v>
      </c>
      <c r="B46" s="18" t="s">
        <v>196</v>
      </c>
      <c r="C46" s="16" t="s">
        <v>199</v>
      </c>
      <c r="D46" s="18" t="s">
        <v>330</v>
      </c>
      <c r="E46" s="16" t="s">
        <v>52</v>
      </c>
      <c r="F46" s="16" t="s">
        <v>64</v>
      </c>
    </row>
    <row r="47" customFormat="false" ht="15" hidden="false" customHeight="false" outlineLevel="0" collapsed="false">
      <c r="A47" s="16" t="s">
        <v>200</v>
      </c>
      <c r="B47" s="18" t="s">
        <v>201</v>
      </c>
      <c r="C47" s="16" t="s">
        <v>204</v>
      </c>
      <c r="D47" s="18" t="s">
        <v>331</v>
      </c>
      <c r="E47" s="16" t="s">
        <v>52</v>
      </c>
      <c r="F47" s="16" t="s">
        <v>64</v>
      </c>
    </row>
    <row r="48" customFormat="false" ht="15" hidden="false" customHeight="false" outlineLevel="0" collapsed="false">
      <c r="A48" s="22" t="s">
        <v>205</v>
      </c>
      <c r="B48" s="23" t="s">
        <v>332</v>
      </c>
      <c r="C48" s="24" t="s">
        <v>333</v>
      </c>
      <c r="D48" s="25" t="s">
        <v>334</v>
      </c>
      <c r="E48" s="26" t="s">
        <v>54</v>
      </c>
      <c r="F48" s="22" t="s">
        <v>64</v>
      </c>
    </row>
    <row r="49" customFormat="false" ht="29.85" hidden="false" customHeight="false" outlineLevel="0" collapsed="false">
      <c r="A49" s="16" t="s">
        <v>211</v>
      </c>
      <c r="B49" s="18" t="s">
        <v>212</v>
      </c>
      <c r="C49" s="16" t="s">
        <v>215</v>
      </c>
      <c r="D49" s="18" t="s">
        <v>335</v>
      </c>
      <c r="E49" s="16" t="s">
        <v>52</v>
      </c>
      <c r="F49" s="16" t="s">
        <v>216</v>
      </c>
    </row>
    <row r="50" customFormat="false" ht="29.85" hidden="false" customHeight="false" outlineLevel="0" collapsed="false">
      <c r="A50" s="16" t="s">
        <v>218</v>
      </c>
      <c r="B50" s="18" t="s">
        <v>220</v>
      </c>
      <c r="C50" s="16" t="s">
        <v>215</v>
      </c>
      <c r="D50" s="18" t="s">
        <v>335</v>
      </c>
      <c r="E50" s="16" t="s">
        <v>52</v>
      </c>
      <c r="F50" s="16" t="s">
        <v>216</v>
      </c>
    </row>
    <row r="51" customFormat="false" ht="29.85" hidden="false" customHeight="false" outlineLevel="0" collapsed="false">
      <c r="A51" s="16" t="s">
        <v>218</v>
      </c>
      <c r="B51" s="18" t="s">
        <v>220</v>
      </c>
      <c r="C51" s="16" t="s">
        <v>319</v>
      </c>
      <c r="D51" s="18" t="s">
        <v>320</v>
      </c>
      <c r="E51" s="16" t="s">
        <v>52</v>
      </c>
      <c r="F51" s="16" t="s">
        <v>216</v>
      </c>
    </row>
    <row r="52" customFormat="false" ht="29.85" hidden="false" customHeight="false" outlineLevel="0" collapsed="false">
      <c r="A52" s="16" t="s">
        <v>225</v>
      </c>
      <c r="B52" s="18" t="s">
        <v>226</v>
      </c>
      <c r="C52" s="16" t="s">
        <v>336</v>
      </c>
      <c r="D52" s="19" t="s">
        <v>337</v>
      </c>
      <c r="E52" s="16" t="s">
        <v>52</v>
      </c>
      <c r="F52" s="16" t="s">
        <v>64</v>
      </c>
    </row>
    <row r="53" customFormat="false" ht="29.85" hidden="false" customHeight="false" outlineLevel="0" collapsed="false">
      <c r="A53" s="16" t="s">
        <v>225</v>
      </c>
      <c r="B53" s="18" t="s">
        <v>226</v>
      </c>
      <c r="C53" s="16" t="s">
        <v>338</v>
      </c>
      <c r="D53" s="19" t="s">
        <v>339</v>
      </c>
      <c r="E53" s="16" t="s">
        <v>52</v>
      </c>
      <c r="F53" s="16" t="s">
        <v>64</v>
      </c>
    </row>
    <row r="54" customFormat="false" ht="15" hidden="false" customHeight="false" outlineLevel="0" collapsed="false">
      <c r="A54" s="16" t="s">
        <v>230</v>
      </c>
      <c r="B54" s="18" t="s">
        <v>231</v>
      </c>
      <c r="C54" s="16" t="s">
        <v>340</v>
      </c>
      <c r="D54" s="19" t="s">
        <v>341</v>
      </c>
      <c r="E54" s="16" t="s">
        <v>52</v>
      </c>
      <c r="F54" s="16" t="s">
        <v>64</v>
      </c>
    </row>
    <row r="55" customFormat="false" ht="15" hidden="false" customHeight="false" outlineLevel="0" collapsed="false">
      <c r="A55" s="16" t="s">
        <v>230</v>
      </c>
      <c r="B55" s="18" t="s">
        <v>231</v>
      </c>
      <c r="C55" s="16" t="s">
        <v>342</v>
      </c>
      <c r="D55" s="19" t="s">
        <v>341</v>
      </c>
      <c r="E55" s="16" t="s">
        <v>52</v>
      </c>
      <c r="F55" s="16" t="s">
        <v>64</v>
      </c>
    </row>
    <row r="56" customFormat="false" ht="15" hidden="false" customHeight="false" outlineLevel="0" collapsed="false">
      <c r="A56" s="16" t="s">
        <v>230</v>
      </c>
      <c r="B56" s="18" t="s">
        <v>231</v>
      </c>
      <c r="C56" s="16" t="s">
        <v>343</v>
      </c>
      <c r="D56" s="19" t="s">
        <v>341</v>
      </c>
      <c r="E56" s="16" t="s">
        <v>53</v>
      </c>
      <c r="F56" s="16" t="s">
        <v>235</v>
      </c>
    </row>
    <row r="57" customFormat="false" ht="15" hidden="false" customHeight="false" outlineLevel="0" collapsed="false">
      <c r="A57" s="16" t="s">
        <v>230</v>
      </c>
      <c r="B57" s="18" t="s">
        <v>231</v>
      </c>
      <c r="C57" s="16" t="s">
        <v>344</v>
      </c>
      <c r="D57" s="19" t="s">
        <v>345</v>
      </c>
      <c r="E57" s="16" t="s">
        <v>53</v>
      </c>
      <c r="F57" s="16" t="s">
        <v>235</v>
      </c>
    </row>
    <row r="58" customFormat="false" ht="15" hidden="false" customHeight="false" outlineLevel="0" collapsed="false">
      <c r="A58" s="16" t="s">
        <v>230</v>
      </c>
      <c r="B58" s="18" t="s">
        <v>231</v>
      </c>
      <c r="C58" s="16" t="s">
        <v>346</v>
      </c>
      <c r="D58" s="19" t="s">
        <v>347</v>
      </c>
      <c r="E58" s="16" t="s">
        <v>52</v>
      </c>
      <c r="F58" s="16" t="s">
        <v>64</v>
      </c>
    </row>
    <row r="59" customFormat="false" ht="15" hidden="false" customHeight="false" outlineLevel="0" collapsed="false">
      <c r="A59" s="16" t="s">
        <v>230</v>
      </c>
      <c r="B59" s="18" t="s">
        <v>231</v>
      </c>
      <c r="C59" s="16" t="s">
        <v>348</v>
      </c>
      <c r="D59" s="19" t="s">
        <v>347</v>
      </c>
      <c r="E59" s="16" t="s">
        <v>52</v>
      </c>
      <c r="F59" s="16" t="s">
        <v>64</v>
      </c>
    </row>
    <row r="60" customFormat="false" ht="15" hidden="false" customHeight="false" outlineLevel="0" collapsed="false">
      <c r="A60" s="16" t="s">
        <v>230</v>
      </c>
      <c r="B60" s="18" t="s">
        <v>231</v>
      </c>
      <c r="C60" s="16" t="s">
        <v>349</v>
      </c>
      <c r="D60" s="19" t="s">
        <v>347</v>
      </c>
      <c r="E60" s="16" t="s">
        <v>52</v>
      </c>
      <c r="F60" s="16" t="s">
        <v>64</v>
      </c>
    </row>
    <row r="61" customFormat="false" ht="15" hidden="false" customHeight="false" outlineLevel="0" collapsed="false">
      <c r="A61" s="16" t="s">
        <v>230</v>
      </c>
      <c r="B61" s="18" t="s">
        <v>231</v>
      </c>
      <c r="C61" s="16" t="s">
        <v>350</v>
      </c>
      <c r="D61" s="19" t="s">
        <v>347</v>
      </c>
      <c r="E61" s="16" t="s">
        <v>52</v>
      </c>
      <c r="F61" s="16" t="s">
        <v>64</v>
      </c>
    </row>
    <row r="62" customFormat="false" ht="15" hidden="false" customHeight="false" outlineLevel="0" collapsed="false">
      <c r="A62" s="16" t="s">
        <v>230</v>
      </c>
      <c r="B62" s="18" t="s">
        <v>231</v>
      </c>
      <c r="C62" s="16" t="s">
        <v>351</v>
      </c>
      <c r="D62" s="19" t="s">
        <v>352</v>
      </c>
      <c r="E62" s="16" t="s">
        <v>52</v>
      </c>
      <c r="F62" s="16" t="s">
        <v>235</v>
      </c>
    </row>
    <row r="63" customFormat="false" ht="15" hidden="false" customHeight="false" outlineLevel="0" collapsed="false">
      <c r="A63" s="16" t="s">
        <v>237</v>
      </c>
      <c r="B63" s="18" t="s">
        <v>238</v>
      </c>
      <c r="C63" s="16" t="s">
        <v>353</v>
      </c>
      <c r="D63" s="18" t="s">
        <v>312</v>
      </c>
      <c r="E63" s="16" t="s">
        <v>52</v>
      </c>
      <c r="F63" s="16" t="s">
        <v>64</v>
      </c>
    </row>
    <row r="64" customFormat="false" ht="15" hidden="false" customHeight="false" outlineLevel="0" collapsed="false">
      <c r="A64" s="16" t="s">
        <v>237</v>
      </c>
      <c r="B64" s="18" t="s">
        <v>238</v>
      </c>
      <c r="C64" s="16" t="s">
        <v>354</v>
      </c>
      <c r="D64" s="18" t="s">
        <v>312</v>
      </c>
      <c r="E64" s="16" t="s">
        <v>52</v>
      </c>
      <c r="F64" s="16" t="s">
        <v>64</v>
      </c>
    </row>
    <row r="65" customFormat="false" ht="15" hidden="false" customHeight="false" outlineLevel="0" collapsed="false">
      <c r="A65" s="16" t="s">
        <v>242</v>
      </c>
      <c r="B65" s="18" t="s">
        <v>243</v>
      </c>
      <c r="C65" s="16" t="s">
        <v>355</v>
      </c>
      <c r="D65" s="18" t="s">
        <v>356</v>
      </c>
      <c r="E65" s="16" t="s">
        <v>52</v>
      </c>
      <c r="F65" s="16" t="s">
        <v>64</v>
      </c>
    </row>
    <row r="66" customFormat="false" ht="15" hidden="false" customHeight="false" outlineLevel="0" collapsed="false">
      <c r="A66" s="16" t="s">
        <v>242</v>
      </c>
      <c r="B66" s="18" t="s">
        <v>243</v>
      </c>
      <c r="C66" s="16" t="s">
        <v>357</v>
      </c>
      <c r="D66" s="18" t="s">
        <v>356</v>
      </c>
      <c r="E66" s="16" t="s">
        <v>53</v>
      </c>
      <c r="F66" s="16" t="s">
        <v>64</v>
      </c>
    </row>
    <row r="67" customFormat="false" ht="15" hidden="false" customHeight="false" outlineLevel="0" collapsed="false">
      <c r="A67" s="16" t="s">
        <v>242</v>
      </c>
      <c r="B67" s="18" t="s">
        <v>243</v>
      </c>
      <c r="C67" s="16" t="s">
        <v>358</v>
      </c>
      <c r="D67" s="18" t="s">
        <v>356</v>
      </c>
      <c r="E67" s="16" t="s">
        <v>53</v>
      </c>
      <c r="F67" s="16" t="s">
        <v>64</v>
      </c>
    </row>
    <row r="68" customFormat="false" ht="15" hidden="false" customHeight="false" outlineLevel="0" collapsed="false">
      <c r="A68" s="16" t="s">
        <v>242</v>
      </c>
      <c r="B68" s="18" t="s">
        <v>243</v>
      </c>
      <c r="C68" s="16" t="s">
        <v>359</v>
      </c>
      <c r="D68" s="18" t="s">
        <v>356</v>
      </c>
      <c r="E68" s="16" t="s">
        <v>53</v>
      </c>
      <c r="F68" s="16" t="s">
        <v>64</v>
      </c>
    </row>
    <row r="69" customFormat="false" ht="15" hidden="false" customHeight="false" outlineLevel="0" collapsed="false">
      <c r="A69" s="16" t="s">
        <v>242</v>
      </c>
      <c r="B69" s="18" t="s">
        <v>243</v>
      </c>
      <c r="C69" s="16" t="s">
        <v>360</v>
      </c>
      <c r="D69" s="18" t="s">
        <v>356</v>
      </c>
      <c r="E69" s="16" t="s">
        <v>53</v>
      </c>
      <c r="F69" s="16" t="s">
        <v>64</v>
      </c>
    </row>
    <row r="70" customFormat="false" ht="15" hidden="false" customHeight="false" outlineLevel="0" collapsed="false">
      <c r="A70" s="16" t="s">
        <v>242</v>
      </c>
      <c r="B70" s="18" t="s">
        <v>243</v>
      </c>
      <c r="C70" s="16" t="s">
        <v>361</v>
      </c>
      <c r="D70" s="18" t="s">
        <v>356</v>
      </c>
      <c r="E70" s="16" t="s">
        <v>53</v>
      </c>
      <c r="F70" s="16" t="s">
        <v>64</v>
      </c>
    </row>
    <row r="71" customFormat="false" ht="29.85" hidden="false" customHeight="false" outlineLevel="0" collapsed="false">
      <c r="A71" s="16" t="s">
        <v>248</v>
      </c>
      <c r="B71" s="18" t="s">
        <v>249</v>
      </c>
      <c r="C71" s="16" t="s">
        <v>252</v>
      </c>
      <c r="D71" s="18" t="s">
        <v>362</v>
      </c>
      <c r="E71" s="16" t="s">
        <v>53</v>
      </c>
      <c r="F71" s="16" t="s">
        <v>253</v>
      </c>
    </row>
  </sheetData>
  <autoFilter ref="A1:F71"/>
  <conditionalFormatting sqref="E2:E71">
    <cfRule type="cellIs" priority="2" operator="equal" aboveAverage="0" equalAverage="0" bottom="0" percent="0" rank="0" text="" dxfId="9">
      <formula>"Pass"</formula>
    </cfRule>
    <cfRule type="cellIs" priority="3" operator="equal" aboveAverage="0" equalAverage="0" bottom="0" percent="0" rank="0" text="" dxfId="11">
      <formula>"Fail"</formula>
    </cfRule>
    <cfRule type="cellIs" priority="4" operator="equal" aboveAverage="0" equalAverage="0" bottom="0" percent="0" rank="0" text="" dxfId="12">
      <formula>"미수행"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2026-10-17T13:58:43Z</dcterms:created>
  <dc:creator>openpyxl</dc:creator>
  <dc:description/>
  <dc:language>en-US</dc:language>
  <cp:lastModifiedBy/>
  <dcterms:modified xsi:type="dcterms:W3CDTF">2026-10-17T13:58:43Z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